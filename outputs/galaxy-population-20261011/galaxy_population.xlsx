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07fd00bec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laxies" sheetId="1" r:id="Rf2bf475a3b1e4510"/>
    <x:sheet xmlns:r="http://schemas.openxmlformats.org/officeDocument/2006/relationships" name="Sources and method" sheetId="2" r:id="Ra9833d95a9cb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"/>
  </x:numFmts>
  <x:fonts count="5">
    <x:font>
      <x:sz val="11"/>
      <x:name val="Carlito"/>
    </x:font>
    <x:font>
      <x:sz val="11"/>
      <x:color rgb="FF243247"/>
      <x:name val="Arial"/>
    </x:font>
    <x:font>
      <x:b/>
      <x:sz val="17"/>
      <x:color rgb="FF243247"/>
      <x:name val="Arial"/>
    </x:font>
    <x:font>
      <x:i/>
      <x:sz val="11"/>
      <x:color rgb="FF59657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2F0E5"/>
        </x:patternFill>
      </x:fill>
    </x:dxf>
    <x:dxf>
      <x:fill>
        <x:patternFill patternType="solid">
          <x:bgColor rgb="FFFFF0CE"/>
        </x:patternFill>
      </x:fill>
    </x:dxf>
    <x:dxf>
      <x:fill>
        <x:patternFill patternType="solid">
          <x:bgColor rgb="FFF7DEDE"/>
        </x:patternFill>
      </x:fill>
    </x:dxf>
    <x:dxf>
      <x:fill>
        <x:patternFill patternType="solid">
          <x:bgColor rgb="FFE8EB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590761ba54909" /><Relationship Type="http://schemas.openxmlformats.org/officeDocument/2006/relationships/theme" Target="/xl/theme/theme1.xml" Id="Re519a7323364419f" /><Relationship Type="http://schemas.openxmlformats.org/officeDocument/2006/relationships/sharedStrings" Target="/xl/sharedStrings.xml" Id="Ra4ea105231e74083" /><Relationship Type="http://schemas.openxmlformats.org/officeDocument/2006/relationships/worksheet" Target="/xl/worksheets/sheet1.xml" Id="Rf2bf475a3b1e4510" /><Relationship Type="http://schemas.openxmlformats.org/officeDocument/2006/relationships/worksheet" Target="/xl/worksheets/sheet2.xml" Id="Ra9833d95a9cb4b6a" /></Relationships>
</file>

<file path=xl/tables/table1.xml><?xml version="1.0" encoding="utf-8"?>
<x:table xmlns:x="http://schemas.openxmlformats.org/spreadsheetml/2006/main" id="1" name="GalaxyPopulation" displayName="GalaxyPopulation" ref="A4:M186" headerRowCount="1" totalsRowCount="0" totalsRowShown="0">
  <x:autoFilter ref="A4:M186"/>
  <x:tableColumns count="13">
    <x:tableColumn id="1" name="Galaxy"/>
    <x:tableColumn id="2" name="Status"/>
    <x:tableColumn id="3" name="Centre RA (deg)"/>
    <x:tableColumn id="4" name="Centre Dec (deg)"/>
    <x:tableColumn id="5" name="RA (hh:mm:ss)"/>
    <x:tableColumn id="6" name="Dec (dd:mm:ss)"/>
    <x:tableColumn id="7" name="Hemisphere"/>
    <x:tableColumn id="8" name="Fornax separation (deg)"/>
    <x:tableColumn id="9" name="Reviewed at"/>
    <x:tableColumn id="10" name="Review notes"/>
    <x:tableColumn id="11" name="Status source"/>
    <x:tableColumn id="12" name="Coordinate source"/>
    <x:tableColumn id="13" name="Status in interactive to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907ebb952d446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5" hidden="0" customWidth="1"/>
    <x:col min="8" max="8" width="23" hidden="0" customWidth="1"/>
    <x:col min="9" max="9" width="25" hidden="0" customWidth="1"/>
    <x:col min="10" max="10" width="38" hidden="0" customWidth="1"/>
    <x:col min="11" max="11" width="42" hidden="0" customWidth="1"/>
    <x:col min="12" max="12" width="42" hidden="0" customWidth="1"/>
    <x:col min="13" max="13" width="28" hidden="0" customWidth="1"/>
  </x:cols>
  <x:sheetData>
    <x:row r="1" ht="22" customHeight="1">
      <x:c r="A1" s="2" t="str">
        <x:v>Galaxy research population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2" customHeight="1">
      <x:c r="A2" s="3" t="str">
        <x:v>182 galaxies; latest categorical review; ICRS sky coordinates of adopted image centres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6" customHeight="1">
      <x:c r="A4" s="6" t="str">
        <x:v>Galaxy</x:v>
      </x:c>
      <x:c r="B4" s="6" t="str">
        <x:v>Status</x:v>
      </x:c>
      <x:c r="C4" s="6" t="str">
        <x:v>Centre RA (deg)</x:v>
      </x:c>
      <x:c r="D4" s="6" t="str">
        <x:v>Centre Dec (deg)</x:v>
      </x:c>
      <x:c r="E4" s="6" t="str">
        <x:v>RA (hh:mm:ss)</x:v>
      </x:c>
      <x:c r="F4" s="6" t="str">
        <x:v>Dec (dd:mm:ss)</x:v>
      </x:c>
      <x:c r="G4" s="6" t="str">
        <x:v>Hemisphere</x:v>
      </x:c>
      <x:c r="H4" s="6" t="str">
        <x:v>Fornax separation (deg)</x:v>
      </x:c>
      <x:c r="I4" s="6" t="str">
        <x:v>Reviewed at</x:v>
      </x:c>
      <x:c r="J4" s="6" t="str">
        <x:v>Review notes</x:v>
      </x:c>
      <x:c r="K4" s="6" t="str">
        <x:v>Status source</x:v>
      </x:c>
      <x:c r="L4" s="6" t="str">
        <x:v>Coordinate source</x:v>
      </x:c>
      <x:c r="M4" s="6" t="str">
        <x:v>Status in interactive tool</x:v>
      </x:c>
    </x:row>
    <x:row r="5" ht="15" hidden="0" customHeight="1">
      <x:c r="A5" s="1" t="str">
        <x:v>ESO013-016</x:v>
      </x:c>
      <x:c r="B5" s="1" t="str">
        <x:v>Polluted</x:v>
      </x:c>
      <x:c r="C5" s="7" t="n">
        <x:v>23.201862519018263</x:v>
      </x:c>
      <x:c r="D5" s="7" t="n">
        <x:v>-79.47390415929212</x:v>
      </x:c>
      <x:c r="E5" s="1" t="str">
        <x:v>01:32:48.45</x:v>
      </x:c>
      <x:c r="F5" s="1" t="str">
        <x:v>-79:28:26.05</x:v>
      </x:c>
      <x:c r="G5" s="1" t="str">
        <x:f>IF(D5&gt;0,"North",IF(D5&lt;0,"South","Equator"))</x:f>
        <x:v>South</x:v>
      </x:c>
      <x:c r="H5" s="8" t="n">
        <x:f>DEGREES(ACOS(MAX(-1,MIN(1,SIN(RADIANS(D5))*SIN(RADIANS('Sources and method'!$B$5))+COS(RADIANS(D5))*COS(RADIANS('Sources and method'!$B$5))*COS(RADIANS(C5-'Sources and method'!$B$4))))))</x:f>
        <x:v>45.79411664457561</x:v>
      </x:c>
      <x:c r="I5" s="1" t="str">
        <x:v>2026-08-27T19:43:20</x:v>
      </x:c>
      <x:c r="J5" s="9" t="str"/>
      <x:c r="K5" s="9" t="str">
        <x:v>blind_remaining_decisions.csv</x:v>
      </x:c>
      <x:c r="L5" s="9" t="str">
        <x:v>ESO013-016.phot.1.fits</x:v>
      </x:c>
      <x:c r="M5" s="9" t="str">
        <x:v>Unreviewed</x:v>
      </x:c>
    </x:row>
    <x:row r="6" ht="15" hidden="0" customHeight="1">
      <x:c r="A6" s="1" t="str">
        <x:v>ESO026-001</x:v>
      </x:c>
      <x:c r="B6" s="1" t="str">
        <x:v>Polluted</x:v>
      </x:c>
      <x:c r="C6" s="7" t="n">
        <x:v>306.2452296920059</x:v>
      </x:c>
      <x:c r="D6" s="7" t="n">
        <x:v>-81.57660342668781</x:v>
      </x:c>
      <x:c r="E6" s="1" t="str">
        <x:v>20:24:58.86</x:v>
      </x:c>
      <x:c r="F6" s="1" t="str">
        <x:v>-81:34:35.77</x:v>
      </x:c>
      <x:c r="G6" s="1" t="str">
        <x:f>IF(D6&gt;0,"North",IF(D6&lt;0,"South","Equator"))</x:f>
        <x:v>South</x:v>
      </x:c>
      <x:c r="H6" s="8" t="n">
        <x:f>DEGREES(ACOS(MAX(-1,MIN(1,SIN(RADIANS(D6))*SIN(RADIANS('Sources and method'!$B$5))+COS(RADIANS(D6))*COS(RADIANS('Sources and method'!$B$5))*COS(RADIANS(C6-'Sources and method'!$B$4))))))</x:f>
        <x:v>57.57961854852034</x:v>
      </x:c>
      <x:c r="I6" s="1" t="str">
        <x:v>2026-08-27T19:40:23</x:v>
      </x:c>
      <x:c r="J6" s="9" t="str"/>
      <x:c r="K6" s="9" t="str">
        <x:v>blind_remaining_decisions.csv</x:v>
      </x:c>
      <x:c r="L6" s="9" t="str">
        <x:v>ESO026-001.phot.1.fits</x:v>
      </x:c>
      <x:c r="M6" s="9" t="str">
        <x:v>Unreviewed</x:v>
      </x:c>
    </x:row>
    <x:row r="7" ht="15" hidden="0" customHeight="1">
      <x:c r="A7" s="1" t="str">
        <x:v>ESO054-021</x:v>
      </x:c>
      <x:c r="B7" s="1" t="str">
        <x:v>Unreviewed</x:v>
      </x:c>
      <x:c r="C7" s="7" t="n">
        <x:v>57.45445651175831</x:v>
      </x:c>
      <x:c r="D7" s="7" t="n">
        <x:v>-71.63559702110828</x:v>
      </x:c>
      <x:c r="E7" s="1" t="str">
        <x:v>03:49:49.07</x:v>
      </x:c>
      <x:c r="F7" s="1" t="str">
        <x:v>-71:38:08.15</x:v>
      </x:c>
      <x:c r="G7" s="1" t="str">
        <x:f>IF(D7&gt;0,"North",IF(D7&lt;0,"South","Equator"))</x:f>
        <x:v>South</x:v>
      </x:c>
      <x:c r="H7" s="8" t="n">
        <x:f>DEGREES(ACOS(MAX(-1,MIN(1,SIN(RADIANS(D7))*SIN(RADIANS('Sources and method'!$B$5))+COS(RADIANS(D7))*COS(RADIANS('Sources and method'!$B$5))*COS(RADIANS(C7-'Sources and method'!$B$4))))))</x:f>
        <x:v>36.21529105594425</x:v>
      </x:c>
      <x:c r="I7" s="1" t="str"/>
      <x:c r="J7" s="9" t="str"/>
      <x:c r="K7" s="9" t="str">
        <x:v>No recorded categorical review</x:v>
      </x:c>
      <x:c r="L7" s="9" t="str">
        <x:v>ESO054-021.phot.1.fits</x:v>
      </x:c>
      <x:c r="M7" s="9" t="str">
        <x:v>Unreviewed</x:v>
      </x:c>
    </x:row>
    <x:row r="8" ht="15" hidden="0" customHeight="1">
      <x:c r="A8" s="1" t="str">
        <x:v>ESO079-005</x:v>
      </x:c>
      <x:c r="B8" s="1" t="str">
        <x:v>Polluted</x:v>
      </x:c>
      <x:c r="C8" s="7" t="n">
        <x:v>10.181722788803127</x:v>
      </x:c>
      <x:c r="D8" s="7" t="n">
        <x:v>-63.443442671843925</x:v>
      </x:c>
      <x:c r="E8" s="1" t="str">
        <x:v>00:40:43.61</x:v>
      </x:c>
      <x:c r="F8" s="1" t="str">
        <x:v>-63:26:36.39</x:v>
      </x:c>
      <x:c r="G8" s="1" t="str">
        <x:f>IF(D8&gt;0,"North",IF(D8&lt;0,"South","Equator"))</x:f>
        <x:v>South</x:v>
      </x:c>
      <x:c r="H8" s="8" t="n">
        <x:f>DEGREES(ACOS(MAX(-1,MIN(1,SIN(RADIANS(D8))*SIN(RADIANS('Sources and method'!$B$5))+COS(RADIANS(D8))*COS(RADIANS('Sources and method'!$B$5))*COS(RADIANS(C8-'Sources and method'!$B$4))))))</x:f>
        <x:v>38.845219326478755</x:v>
      </x:c>
      <x:c r="I8" s="1" t="str">
        <x:v>2026-08-27T19:42:34</x:v>
      </x:c>
      <x:c r="J8" s="9" t="str"/>
      <x:c r="K8" s="9" t="str">
        <x:v>blind_remaining_decisions.csv</x:v>
      </x:c>
      <x:c r="L8" s="9" t="str">
        <x:v>ESO079-005.phot.1.fits</x:v>
      </x:c>
      <x:c r="M8" s="9" t="str">
        <x:v>Unreviewed</x:v>
      </x:c>
    </x:row>
    <x:row r="9" ht="15" hidden="0" customHeight="1">
      <x:c r="A9" s="1" t="str">
        <x:v>ESO085-047</x:v>
      </x:c>
      <x:c r="B9" s="1" t="str">
        <x:v>Polluted</x:v>
      </x:c>
      <x:c r="C9" s="7" t="n">
        <x:v>76.93153943401158</x:v>
      </x:c>
      <x:c r="D9" s="7" t="n">
        <x:v>-62.991086251797654</x:v>
      </x:c>
      <x:c r="E9" s="1" t="str">
        <x:v>05:07:43.57</x:v>
      </x:c>
      <x:c r="F9" s="1" t="str">
        <x:v>-62:59:27.91</x:v>
      </x:c>
      <x:c r="G9" s="1" t="str">
        <x:f>IF(D9&gt;0,"North",IF(D9&lt;0,"South","Equator"))</x:f>
        <x:v>South</x:v>
      </x:c>
      <x:c r="H9" s="8" t="n">
        <x:f>DEGREES(ACOS(MAX(-1,MIN(1,SIN(RADIANS(D9))*SIN(RADIANS('Sources and method'!$B$5))+COS(RADIANS(D9))*COS(RADIANS('Sources and method'!$B$5))*COS(RADIANS(C9-'Sources and method'!$B$4))))))</x:f>
        <x:v>30.796389786269607</x:v>
      </x:c>
      <x:c r="I9" s="1" t="str">
        <x:v>2026-08-27T19:41:57</x:v>
      </x:c>
      <x:c r="J9" s="9" t="str"/>
      <x:c r="K9" s="9" t="str">
        <x:v>blind_remaining_decisions.csv</x:v>
      </x:c>
      <x:c r="L9" s="9" t="str">
        <x:v>ESO085-047.phot.1.fits</x:v>
      </x:c>
      <x:c r="M9" s="9" t="str">
        <x:v>Unreviewed</x:v>
      </x:c>
    </x:row>
    <x:row r="10" ht="15" hidden="0" customHeight="1">
      <x:c r="A10" s="1" t="str">
        <x:v>ESO120-012</x:v>
      </x:c>
      <x:c r="B10" s="1" t="str">
        <x:v>Polluted</x:v>
      </x:c>
      <x:c r="C10" s="7" t="n">
        <x:v>84.99714768946257</x:v>
      </x:c>
      <x:c r="D10" s="7" t="n">
        <x:v>-58.58537663138128</x:v>
      </x:c>
      <x:c r="E10" s="1" t="str">
        <x:v>05:39:59.32</x:v>
      </x:c>
      <x:c r="F10" s="1" t="str">
        <x:v>-58:35:07.36</x:v>
      </x:c>
      <x:c r="G10" s="1" t="str">
        <x:f>IF(D10&gt;0,"North",IF(D10&lt;0,"South","Equator"))</x:f>
        <x:v>South</x:v>
      </x:c>
      <x:c r="H10" s="8" t="n">
        <x:f>DEGREES(ACOS(MAX(-1,MIN(1,SIN(RADIANS(D10))*SIN(RADIANS('Sources and method'!$B$5))+COS(RADIANS(D10))*COS(RADIANS('Sources and method'!$B$5))*COS(RADIANS(C10-'Sources and method'!$B$4))))))</x:f>
        <x:v>30.53740523600772</x:v>
      </x:c>
      <x:c r="I10" s="1" t="str">
        <x:v>2026-08-27T19:41:18</x:v>
      </x:c>
      <x:c r="J10" s="9" t="str"/>
      <x:c r="K10" s="9" t="str">
        <x:v>blind_remaining_decisions.csv</x:v>
      </x:c>
      <x:c r="L10" s="9" t="str">
        <x:v>ESO120-012.phot.1.fits</x:v>
      </x:c>
      <x:c r="M10" s="9" t="str">
        <x:v>Unreviewed</x:v>
      </x:c>
    </x:row>
    <x:row r="11" ht="15" hidden="0" customHeight="1">
      <x:c r="A11" s="1" t="str">
        <x:v>ESO202-041</x:v>
      </x:c>
      <x:c r="B11" s="1" t="str">
        <x:v>Unreviewed</x:v>
      </x:c>
      <x:c r="C11" s="7" t="n">
        <x:v>69.23610868372823</x:v>
      </x:c>
      <x:c r="D11" s="7" t="n">
        <x:v>-52.175192511770675</x:v>
      </x:c>
      <x:c r="E11" s="1" t="str">
        <x:v>04:36:56.67</x:v>
      </x:c>
      <x:c r="F11" s="1" t="str">
        <x:v>-52:10:30.69</x:v>
      </x:c>
      <x:c r="G11" s="1" t="str">
        <x:f>IF(D11&gt;0,"North",IF(D11&lt;0,"South","Equator"))</x:f>
        <x:v>South</x:v>
      </x:c>
      <x:c r="H11" s="8" t="n">
        <x:f>DEGREES(ACOS(MAX(-1,MIN(1,SIN(RADIANS(D11))*SIN(RADIANS('Sources and method'!$B$5))+COS(RADIANS(D11))*COS(RADIANS('Sources and method'!$B$5))*COS(RADIANS(C11-'Sources and method'!$B$4))))))</x:f>
        <x:v>19.688924246524977</x:v>
      </x:c>
      <x:c r="I11" s="1" t="str"/>
      <x:c r="J11" s="9" t="str"/>
      <x:c r="K11" s="9" t="str">
        <x:v>No recorded categorical review</x:v>
      </x:c>
      <x:c r="L11" s="9" t="str">
        <x:v>ESO202-041.phot.1.fits</x:v>
      </x:c>
      <x:c r="M11" s="9" t="str">
        <x:v>Unreviewed</x:v>
      </x:c>
    </x:row>
    <x:row r="12" ht="15" hidden="0" customHeight="1">
      <x:c r="A12" s="1" t="str">
        <x:v>ESO236-039</x:v>
      </x:c>
      <x:c r="B12" s="1" t="str">
        <x:v>Unreviewed</x:v>
      </x:c>
      <x:c r="C12" s="7" t="n">
        <x:v>326.311090867796</x:v>
      </x:c>
      <x:c r="D12" s="7" t="n">
        <x:v>-49.00847542144286</x:v>
      </x:c>
      <x:c r="E12" s="1" t="str">
        <x:v>21:45:14.66</x:v>
      </x:c>
      <x:c r="F12" s="1" t="str">
        <x:v>-49:00:30.51</x:v>
      </x:c>
      <x:c r="G12" s="1" t="str">
        <x:f>IF(D12&gt;0,"North",IF(D12&lt;0,"South","Equator"))</x:f>
        <x:v>South</x:v>
      </x:c>
      <x:c r="H12" s="8" t="n">
        <x:f>DEGREES(ACOS(MAX(-1,MIN(1,SIN(RADIANS(D12))*SIN(RADIANS('Sources and method'!$B$5))+COS(RADIANS(D12))*COS(RADIANS('Sources and method'!$B$5))*COS(RADIANS(C12-'Sources and method'!$B$4))))))</x:f>
        <x:v>63.02845642545163</x:v>
      </x:c>
      <x:c r="I12" s="1" t="str"/>
      <x:c r="J12" s="9" t="str"/>
      <x:c r="K12" s="9" t="str">
        <x:v>No recorded categorical review</x:v>
      </x:c>
      <x:c r="L12" s="9" t="str">
        <x:v>ESO236-039.phot.1.fits</x:v>
      </x:c>
      <x:c r="M12" s="9" t="str">
        <x:v>Unreviewed</x:v>
      </x:c>
    </x:row>
    <x:row r="13" ht="15" hidden="0" customHeight="1">
      <x:c r="A13" s="1" t="str">
        <x:v>ESO298-023</x:v>
      </x:c>
      <x:c r="B13" s="1" t="str">
        <x:v>Polluted</x:v>
      </x:c>
      <x:c r="C13" s="7" t="n">
        <x:v>33.61443762814698</x:v>
      </x:c>
      <x:c r="D13" s="7" t="n">
        <x:v>-39.185160368559856</x:v>
      </x:c>
      <x:c r="E13" s="1" t="str">
        <x:v>02:14:27.47</x:v>
      </x:c>
      <x:c r="F13" s="1" t="str">
        <x:v>-39:11:06.58</x:v>
      </x:c>
      <x:c r="G13" s="1" t="str">
        <x:f>IF(D13&gt;0,"North",IF(D13&lt;0,"South","Equator"))</x:f>
        <x:v>South</x:v>
      </x:c>
      <x:c r="H13" s="8" t="n">
        <x:f>DEGREES(ACOS(MAX(-1,MIN(1,SIN(RADIANS(D13))*SIN(RADIANS('Sources and method'!$B$5))+COS(RADIANS(D13))*COS(RADIANS('Sources and method'!$B$5))*COS(RADIANS(C13-'Sources and method'!$B$4))))))</x:f>
        <x:v>17.076843646256886</x:v>
      </x:c>
      <x:c r="I13" s="1" t="str">
        <x:v>2026-08-29T11:54:37</x:v>
      </x:c>
      <x:c r="J13" s="9" t="str"/>
      <x:c r="K13" s="9" t="str">
        <x:v>all182_cleanliness_decisions.csv</x:v>
      </x:c>
      <x:c r="L13" s="9" t="str">
        <x:v>ESO298-023.phot.1.fits</x:v>
      </x:c>
      <x:c r="M13" s="9" t="str">
        <x:v>Polluted</x:v>
      </x:c>
    </x:row>
    <x:row r="14" ht="15" hidden="0" customHeight="1">
      <x:c r="A14" s="1" t="str">
        <x:v>ESO357-012</x:v>
      </x:c>
      <x:c r="B14" s="1" t="str">
        <x:v>Polluted</x:v>
      </x:c>
      <x:c r="C14" s="7" t="n">
        <x:v>49.22249289066972</x:v>
      </x:c>
      <x:c r="D14" s="7" t="n">
        <x:v>-35.541336234508364</x:v>
      </x:c>
      <x:c r="E14" s="1" t="str">
        <x:v>03:16:53.40</x:v>
      </x:c>
      <x:c r="F14" s="1" t="str">
        <x:v>-35:32:28.81</x:v>
      </x:c>
      <x:c r="G14" s="1" t="str">
        <x:f>IF(D14&gt;0,"North",IF(D14&lt;0,"South","Equator"))</x:f>
        <x:v>South</x:v>
      </x:c>
      <x:c r="H14" s="8" t="n">
        <x:f>DEGREES(ACOS(MAX(-1,MIN(1,SIN(RADIANS(D14))*SIN(RADIANS('Sources and method'!$B$5))+COS(RADIANS(D14))*COS(RADIANS('Sources and method'!$B$5))*COS(RADIANS(C14-'Sources and method'!$B$4))))))</x:f>
        <x:v>4.395754997930291</x:v>
      </x:c>
      <x:c r="I14" s="1" t="str">
        <x:v>2026-08-27T19:40:31</x:v>
      </x:c>
      <x:c r="J14" s="9" t="str"/>
      <x:c r="K14" s="9" t="str">
        <x:v>blind_remaining_decisions.csv</x:v>
      </x:c>
      <x:c r="L14" s="9" t="str">
        <x:v>ESO357-012.phot.1.fits</x:v>
      </x:c>
      <x:c r="M14" s="9" t="str">
        <x:v>Unreviewed</x:v>
      </x:c>
    </x:row>
    <x:row r="15" ht="15" hidden="0" customHeight="1">
      <x:c r="A15" s="1" t="str">
        <x:v>ESO358-020</x:v>
      </x:c>
      <x:c r="B15" s="1" t="str">
        <x:v>Polluted</x:v>
      </x:c>
      <x:c r="C15" s="7" t="n">
        <x:v>53.73899102603074</x:v>
      </x:c>
      <x:c r="D15" s="7" t="n">
        <x:v>-32.63954665823975</x:v>
      </x:c>
      <x:c r="E15" s="1" t="str">
        <x:v>03:34:57.36</x:v>
      </x:c>
      <x:c r="F15" s="1" t="str">
        <x:v>-32:38:22.37</x:v>
      </x:c>
      <x:c r="G15" s="1" t="str">
        <x:f>IF(D15&gt;0,"North",IF(D15&lt;0,"South","Equator"))</x:f>
        <x:v>South</x:v>
      </x:c>
      <x:c r="H15" s="8" t="n">
        <x:f>DEGREES(ACOS(MAX(-1,MIN(1,SIN(RADIANS(D15))*SIN(RADIANS('Sources and method'!$B$5))+COS(RADIANS(D15))*COS(RADIANS('Sources and method'!$B$5))*COS(RADIANS(C15-'Sources and method'!$B$4))))))</x:f>
        <x:v>2.904632362948842</x:v>
      </x:c>
      <x:c r="I15" s="1" t="str">
        <x:v>2026-08-27T19:42:18</x:v>
      </x:c>
      <x:c r="J15" s="9" t="str"/>
      <x:c r="K15" s="9" t="str">
        <x:v>blind_remaining_decisions.csv</x:v>
      </x:c>
      <x:c r="L15" s="9" t="str">
        <x:v>ESO358-020.phot.1.fits</x:v>
      </x:c>
      <x:c r="M15" s="9" t="str">
        <x:v>Unreviewed</x:v>
      </x:c>
    </x:row>
    <x:row r="16" ht="15" hidden="0" customHeight="1">
      <x:c r="A16" s="1" t="str">
        <x:v>ESO359-031</x:v>
      </x:c>
      <x:c r="B16" s="1" t="str">
        <x:v>Polluted</x:v>
      </x:c>
      <x:c r="C16" s="7" t="n">
        <x:v>63.291505801772125</x:v>
      </x:c>
      <x:c r="D16" s="7" t="n">
        <x:v>-34.425760722318905</x:v>
      </x:c>
      <x:c r="E16" s="1" t="str">
        <x:v>04:13:09.96</x:v>
      </x:c>
      <x:c r="F16" s="1" t="str">
        <x:v>-34:25:32.74</x:v>
      </x:c>
      <x:c r="G16" s="1" t="str">
        <x:f>IF(D16&gt;0,"North",IF(D16&lt;0,"South","Equator"))</x:f>
        <x:v>South</x:v>
      </x:c>
      <x:c r="H16" s="8" t="n">
        <x:f>DEGREES(ACOS(MAX(-1,MIN(1,SIN(RADIANS(D16))*SIN(RADIANS('Sources and method'!$B$5))+COS(RADIANS(D16))*COS(RADIANS('Sources and method'!$B$5))*COS(RADIANS(C16-'Sources and method'!$B$4))))))</x:f>
        <x:v>7.17876010081783</x:v>
      </x:c>
      <x:c r="I16" s="1" t="str">
        <x:v>2026-08-27T19:41:29</x:v>
      </x:c>
      <x:c r="J16" s="9" t="str"/>
      <x:c r="K16" s="9" t="str">
        <x:v>blind_remaining_decisions.csv</x:v>
      </x:c>
      <x:c r="L16" s="9" t="str">
        <x:v>ESO359-031.phot.1.fits</x:v>
      </x:c>
      <x:c r="M16" s="9" t="str">
        <x:v>Unreviewed</x:v>
      </x:c>
    </x:row>
    <x:row r="17" ht="15" hidden="0" customHeight="1">
      <x:c r="A17" s="1" t="str">
        <x:v>ESO420-009</x:v>
      </x:c>
      <x:c r="B17" s="1" t="str">
        <x:v>Polluted</x:v>
      </x:c>
      <x:c r="C17" s="7" t="n">
        <x:v>62.752758757330874</x:v>
      </x:c>
      <x:c r="D17" s="7" t="n">
        <x:v>-31.407426634385</x:v>
      </x:c>
      <x:c r="E17" s="1" t="str">
        <x:v>04:11:00.66</x:v>
      </x:c>
      <x:c r="F17" s="1" t="str">
        <x:v>-31:24:26.74</x:v>
      </x:c>
      <x:c r="G17" s="1" t="str">
        <x:f>IF(D17&gt;0,"North",IF(D17&lt;0,"South","Equator"))</x:f>
        <x:v>South</x:v>
      </x:c>
      <x:c r="H17" s="8" t="n">
        <x:f>DEGREES(ACOS(MAX(-1,MIN(1,SIN(RADIANS(D17))*SIN(RADIANS('Sources and method'!$B$5))+COS(RADIANS(D17))*COS(RADIANS('Sources and method'!$B$5))*COS(RADIANS(C17-'Sources and method'!$B$4))))))</x:f>
        <x:v>7.895280347301966</x:v>
      </x:c>
      <x:c r="I17" s="1" t="str">
        <x:v>2026-08-29T11:54:23</x:v>
      </x:c>
      <x:c r="J17" s="9" t="str"/>
      <x:c r="K17" s="9" t="str">
        <x:v>all182_cleanliness_decisions.csv</x:v>
      </x:c>
      <x:c r="L17" s="9" t="str">
        <x:v>ESO420-009.phot.1.fits</x:v>
      </x:c>
      <x:c r="M17" s="9" t="str">
        <x:v>Polluted</x:v>
      </x:c>
    </x:row>
    <x:row r="18" ht="15" hidden="0" customHeight="1">
      <x:c r="A18" s="1" t="str">
        <x:v>ESO440-044</x:v>
      </x:c>
      <x:c r="B18" s="1" t="str">
        <x:v>Polluted</x:v>
      </x:c>
      <x:c r="C18" s="7" t="n">
        <x:v>180.6931995641623</x:v>
      </x:c>
      <x:c r="D18" s="7" t="n">
        <x:v>-29.09384209591555</x:v>
      </x:c>
      <x:c r="E18" s="1" t="str">
        <x:v>12:02:46.37</x:v>
      </x:c>
      <x:c r="F18" s="1" t="str">
        <x:v>-29:05:37.83</x:v>
      </x:c>
      <x:c r="G18" s="1" t="str">
        <x:f>IF(D18&gt;0,"North",IF(D18&lt;0,"South","Equator"))</x:f>
        <x:v>South</x:v>
      </x:c>
      <x:c r="H18" s="8" t="n">
        <x:f>DEGREES(ACOS(MAX(-1,MIN(1,SIN(RADIANS(D18))*SIN(RADIANS('Sources and method'!$B$5))+COS(RADIANS(D18))*COS(RADIANS('Sources and method'!$B$5))*COS(RADIANS(C18-'Sources and method'!$B$4))))))</x:f>
        <x:v>97.88037888111882</x:v>
      </x:c>
      <x:c r="I18" s="1" t="str">
        <x:v>2026-08-27T19:42:13</x:v>
      </x:c>
      <x:c r="J18" s="9" t="str"/>
      <x:c r="K18" s="9" t="str">
        <x:v>blind_remaining_decisions.csv</x:v>
      </x:c>
      <x:c r="L18" s="9" t="str">
        <x:v>ESO440-044.phot.1.fits</x:v>
      </x:c>
      <x:c r="M18" s="9" t="str">
        <x:v>Unreviewed</x:v>
      </x:c>
    </x:row>
    <x:row r="19" ht="15" hidden="0" customHeight="1">
      <x:c r="A19" s="1" t="str">
        <x:v>ESO443-085</x:v>
      </x:c>
      <x:c r="B19" s="1" t="str">
        <x:v>Polluted</x:v>
      </x:c>
      <x:c r="C19" s="7" t="n">
        <x:v>198.80855068216027</x:v>
      </x:c>
      <x:c r="D19" s="7" t="n">
        <x:v>-32.25406081883765</x:v>
      </x:c>
      <x:c r="E19" s="1" t="str">
        <x:v>13:15:14.05</x:v>
      </x:c>
      <x:c r="F19" s="1" t="str">
        <x:v>-32:15:14.62</x:v>
      </x:c>
      <x:c r="G19" s="1" t="str">
        <x:f>IF(D19&gt;0,"North",IF(D19&lt;0,"South","Equator"))</x:f>
        <x:v>South</x:v>
      </x:c>
      <x:c r="H19" s="8" t="n">
        <x:f>DEGREES(ACOS(MAX(-1,MIN(1,SIN(RADIANS(D19))*SIN(RADIANS('Sources and method'!$B$5))+COS(RADIANS(D19))*COS(RADIANS('Sources and method'!$B$5))*COS(RADIANS(C19-'Sources and method'!$B$4))))))</x:f>
        <x:v>104.42600662902923</x:v>
      </x:c>
      <x:c r="I19" s="1" t="str">
        <x:v>2026-08-27T19:43:23</x:v>
      </x:c>
      <x:c r="J19" s="9" t="str"/>
      <x:c r="K19" s="9" t="str">
        <x:v>blind_remaining_decisions.csv</x:v>
      </x:c>
      <x:c r="L19" s="9" t="str">
        <x:v>ESO443-085.phot.1.fits</x:v>
      </x:c>
      <x:c r="M19" s="9" t="str">
        <x:v>Unreviewed</x:v>
      </x:c>
    </x:row>
    <x:row r="20" ht="15" hidden="0" customHeight="1">
      <x:c r="A20" s="1" t="str">
        <x:v>ESO479-004</x:v>
      </x:c>
      <x:c r="B20" s="1" t="str">
        <x:v>Polluted</x:v>
      </x:c>
      <x:c r="C20" s="7" t="n">
        <x:v>36.59076486486675</x:v>
      </x:c>
      <x:c r="D20" s="7" t="n">
        <x:v>-24.28992371960485</x:v>
      </x:c>
      <x:c r="E20" s="1" t="str">
        <x:v>02:26:21.78</x:v>
      </x:c>
      <x:c r="F20" s="1" t="str">
        <x:v>-24:17:23.73</x:v>
      </x:c>
      <x:c r="G20" s="1" t="str">
        <x:f>IF(D20&gt;0,"North",IF(D20&lt;0,"South","Equator"))</x:f>
        <x:v>South</x:v>
      </x:c>
      <x:c r="H20" s="8" t="n">
        <x:f>DEGREES(ACOS(MAX(-1,MIN(1,SIN(RADIANS(D20))*SIN(RADIANS('Sources and method'!$B$5))+COS(RADIANS(D20))*COS(RADIANS('Sources and method'!$B$5))*COS(RADIANS(C20-'Sources and method'!$B$4))))))</x:f>
        <x:v>19.156590473372077</x:v>
      </x:c>
      <x:c r="I20" s="1" t="str">
        <x:v>2026-08-27T19:39:42</x:v>
      </x:c>
      <x:c r="J20" s="9" t="str"/>
      <x:c r="K20" s="9" t="str">
        <x:v>blind_remaining_decisions.csv</x:v>
      </x:c>
      <x:c r="L20" s="9" t="str">
        <x:v>ESO479-004.phot.1.fits</x:v>
      </x:c>
      <x:c r="M20" s="9" t="str">
        <x:v>Unreviewed</x:v>
      </x:c>
    </x:row>
    <x:row r="21" ht="15" hidden="0" customHeight="1">
      <x:c r="A21" s="1" t="str">
        <x:v>ESO485-021</x:v>
      </x:c>
      <x:c r="B21" s="1" t="str">
        <x:v>Polluted</x:v>
      </x:c>
      <x:c r="C21" s="7" t="n">
        <x:v>73.22107111179528</x:v>
      </x:c>
      <x:c r="D21" s="7" t="n">
        <x:v>-25.246484571037847</x:v>
      </x:c>
      <x:c r="E21" s="1" t="str">
        <x:v>04:52:53.06</x:v>
      </x:c>
      <x:c r="F21" s="1" t="str">
        <x:v>-25:14:47.34</x:v>
      </x:c>
      <x:c r="G21" s="1" t="str">
        <x:f>IF(D21&gt;0,"North",IF(D21&lt;0,"South","Equator"))</x:f>
        <x:v>South</x:v>
      </x:c>
      <x:c r="H21" s="8" t="n">
        <x:f>DEGREES(ACOS(MAX(-1,MIN(1,SIN(RADIANS(D21))*SIN(RADIANS('Sources and method'!$B$5))+COS(RADIANS(D21))*COS(RADIANS('Sources and method'!$B$5))*COS(RADIANS(C21-'Sources and method'!$B$4))))))</x:f>
        <x:v>18.968315534535428</x:v>
      </x:c>
      <x:c r="I21" s="1" t="str">
        <x:v>2026-08-27T19:39:52</x:v>
      </x:c>
      <x:c r="J21" s="9" t="str"/>
      <x:c r="K21" s="9" t="str">
        <x:v>blind_remaining_decisions.csv</x:v>
      </x:c>
      <x:c r="L21" s="9" t="str">
        <x:v>ESO485-021.phot.1.fits</x:v>
      </x:c>
      <x:c r="M21" s="9" t="str">
        <x:v>Unreviewed</x:v>
      </x:c>
    </x:row>
    <x:row r="22" ht="15" hidden="0" customHeight="1">
      <x:c r="A22" s="1" t="str">
        <x:v>ESO572-030</x:v>
      </x:c>
      <x:c r="B22" s="1" t="str">
        <x:v>Polluted</x:v>
      </x:c>
      <x:c r="C22" s="7" t="n">
        <x:v>179.6063116821856</x:v>
      </x:c>
      <x:c r="D22" s="7" t="n">
        <x:v>-22.440045826363143</x:v>
      </x:c>
      <x:c r="E22" s="1" t="str">
        <x:v>11:58:25.51</x:v>
      </x:c>
      <x:c r="F22" s="1" t="str">
        <x:v>-22:26:24.16</x:v>
      </x:c>
      <x:c r="G22" s="1" t="str">
        <x:f>IF(D22&gt;0,"North",IF(D22&lt;0,"South","Equator"))</x:f>
        <x:v>South</x:v>
      </x:c>
      <x:c r="H22" s="8" t="n">
        <x:f>DEGREES(ACOS(MAX(-1,MIN(1,SIN(RADIANS(D22))*SIN(RADIANS('Sources and method'!$B$5))+COS(RADIANS(D22))*COS(RADIANS('Sources and method'!$B$5))*COS(RADIANS(C22-'Sources and method'!$B$4))))))</x:f>
        <x:v>102.14034530539881</x:v>
      </x:c>
      <x:c r="I22" s="1" t="str">
        <x:v>2026-08-27T19:40:20</x:v>
      </x:c>
      <x:c r="J22" s="9" t="str"/>
      <x:c r="K22" s="9" t="str">
        <x:v>blind_remaining_decisions.csv</x:v>
      </x:c>
      <x:c r="L22" s="9" t="str">
        <x:v>ESO572-030.phot.1.fits</x:v>
      </x:c>
      <x:c r="M22" s="9" t="str">
        <x:v>Unreviewed</x:v>
      </x:c>
    </x:row>
    <x:row r="23" ht="15" hidden="0" customHeight="1">
      <x:c r="A23" s="1" t="str">
        <x:v>IC0600</x:v>
      </x:c>
      <x:c r="B23" s="1" t="str">
        <x:v>Polluted</x:v>
      </x:c>
      <x:c r="C23" s="7" t="n">
        <x:v>154.29539972642561</x:v>
      </x:c>
      <x:c r="D23" s="7" t="n">
        <x:v>-3.4985061724208952</x:v>
      </x:c>
      <x:c r="E23" s="1" t="str">
        <x:v>10:17:10.90</x:v>
      </x:c>
      <x:c r="F23" s="1" t="str">
        <x:v>-03:29:54.62</x:v>
      </x:c>
      <x:c r="G23" s="1" t="str">
        <x:f>IF(D23&gt;0,"North",IF(D23&lt;0,"South","Equator"))</x:f>
        <x:v>South</x:v>
      </x:c>
      <x:c r="H23" s="8" t="n">
        <x:f>DEGREES(ACOS(MAX(-1,MIN(1,SIN(RADIANS(D23))*SIN(RADIANS('Sources and method'!$B$5))+COS(RADIANS(D23))*COS(RADIANS('Sources and method'!$B$5))*COS(RADIANS(C23-'Sources and method'!$B$4))))))</x:f>
        <x:v>95.81082385520396</x:v>
      </x:c>
      <x:c r="I23" s="1" t="str">
        <x:v>2026-08-29T11:54:23</x:v>
      </x:c>
      <x:c r="J23" s="9" t="str"/>
      <x:c r="K23" s="9" t="str">
        <x:v>all182_cleanliness_decisions.csv</x:v>
      </x:c>
      <x:c r="L23" s="9" t="str">
        <x:v>IC0600.phot.1.fits</x:v>
      </x:c>
      <x:c r="M23" s="9" t="str">
        <x:v>Polluted</x:v>
      </x:c>
    </x:row>
    <x:row r="24" ht="15" hidden="0" customHeight="1">
      <x:c r="A24" s="1" t="str">
        <x:v>IC0797</x:v>
      </x:c>
      <x:c r="B24" s="1" t="str">
        <x:v>Polluted</x:v>
      </x:c>
      <x:c r="C24" s="7" t="n">
        <x:v>187.97845357517068</x:v>
      </x:c>
      <x:c r="D24" s="7" t="n">
        <x:v>15.124099159654303</x:v>
      </x:c>
      <x:c r="E24" s="1" t="str">
        <x:v>12:31:54.83</x:v>
      </x:c>
      <x:c r="F24" s="1" t="str">
        <x:v>+15:07:26.76</x:v>
      </x:c>
      <x:c r="G24" s="1" t="str">
        <x:f>IF(D24&gt;0,"North",IF(D24&lt;0,"South","Equator"))</x:f>
        <x:v>North</x:v>
      </x:c>
      <x:c r="H24" s="8" t="n">
        <x:f>DEGREES(ACOS(MAX(-1,MIN(1,SIN(RADIANS(D24))*SIN(RADIANS('Sources and method'!$B$5))+COS(RADIANS(D24))*COS(RADIANS('Sources and method'!$B$5))*COS(RADIANS(C24-'Sources and method'!$B$4))))))</x:f>
        <x:v>133.7273410058355</x:v>
      </x:c>
      <x:c r="I24" s="1" t="str">
        <x:v>2026-08-29T11:54:18</x:v>
      </x:c>
      <x:c r="J24" s="9" t="str"/>
      <x:c r="K24" s="9" t="str">
        <x:v>all182_cleanliness_decisions.csv</x:v>
      </x:c>
      <x:c r="L24" s="9" t="str">
        <x:v>IC0797.phot.1.fits</x:v>
      </x:c>
      <x:c r="M24" s="9" t="str">
        <x:v>Polluted</x:v>
      </x:c>
    </x:row>
    <x:row r="25" ht="15" hidden="0" customHeight="1">
      <x:c r="A25" s="1" t="str">
        <x:v>IC1014</x:v>
      </x:c>
      <x:c r="B25" s="1" t="str">
        <x:v>Unreviewed</x:v>
      </x:c>
      <x:c r="C25" s="7" t="n">
        <x:v>217.0767516410022</x:v>
      </x:c>
      <x:c r="D25" s="7" t="n">
        <x:v>13.7800920868777</x:v>
      </x:c>
      <x:c r="E25" s="1" t="str">
        <x:v>14:28:18.42</x:v>
      </x:c>
      <x:c r="F25" s="1" t="str">
        <x:v>+13:46:48.33</x:v>
      </x:c>
      <x:c r="G25" s="1" t="str">
        <x:f>IF(D25&gt;0,"North",IF(D25&lt;0,"South","Equator"))</x:f>
        <x:v>North</x:v>
      </x:c>
      <x:c r="H25" s="8" t="n">
        <x:f>DEGREES(ACOS(MAX(-1,MIN(1,SIN(RADIANS(D25))*SIN(RADIANS('Sources and method'!$B$5))+COS(RADIANS(D25))*COS(RADIANS('Sources and method'!$B$5))*COS(RADIANS(C25-'Sources and method'!$B$4))))))</x:f>
        <x:v>153.19157497404794</x:v>
      </x:c>
      <x:c r="I25" s="1" t="str"/>
      <x:c r="J25" s="9" t="str"/>
      <x:c r="K25" s="9" t="str">
        <x:v>No recorded categorical review</x:v>
      </x:c>
      <x:c r="L25" s="9" t="str">
        <x:v>IC1014.phot.1.fits</x:v>
      </x:c>
      <x:c r="M25" s="9" t="str">
        <x:v>Unreviewed</x:v>
      </x:c>
    </x:row>
    <x:row r="26" ht="15" hidden="0" customHeight="1">
      <x:c r="A26" s="1" t="str">
        <x:v>IC1933</x:v>
      </x:c>
      <x:c r="B26" s="1" t="str">
        <x:v>Polluted</x:v>
      </x:c>
      <x:c r="C26" s="7" t="n">
        <x:v>51.41604488462042</x:v>
      </x:c>
      <x:c r="D26" s="7" t="n">
        <x:v>-52.78554708133045</x:v>
      </x:c>
      <x:c r="E26" s="1" t="str">
        <x:v>03:25:39.85</x:v>
      </x:c>
      <x:c r="F26" s="1" t="str">
        <x:v>-52:47:07.97</x:v>
      </x:c>
      <x:c r="G26" s="1" t="str">
        <x:f>IF(D26&gt;0,"North",IF(D26&lt;0,"South","Equator"))</x:f>
        <x:v>South</x:v>
      </x:c>
      <x:c r="H26" s="8" t="n">
        <x:f>DEGREES(ACOS(MAX(-1,MIN(1,SIN(RADIANS(D26))*SIN(RADIANS('Sources and method'!$B$5))+COS(RADIANS(D26))*COS(RADIANS('Sources and method'!$B$5))*COS(RADIANS(C26-'Sources and method'!$B$4))))))</x:f>
        <x:v>17.4823938147113</x:v>
      </x:c>
      <x:c r="I26" s="1" t="str">
        <x:v>2026-08-27T19:43:26</x:v>
      </x:c>
      <x:c r="J26" s="9" t="str"/>
      <x:c r="K26" s="9" t="str">
        <x:v>blind_remaining_decisions.csv</x:v>
      </x:c>
      <x:c r="L26" s="9" t="str">
        <x:v>IC1933.phot.1.fits</x:v>
      </x:c>
      <x:c r="M26" s="9" t="str">
        <x:v>Unreviewed</x:v>
      </x:c>
    </x:row>
    <x:row r="27" ht="15" hidden="0" customHeight="1">
      <x:c r="A27" s="1" t="str">
        <x:v>IC1953</x:v>
      </x:c>
      <x:c r="B27" s="1" t="str">
        <x:v>Polluted</x:v>
      </x:c>
      <x:c r="C27" s="7" t="n">
        <x:v>53.42429328379753</x:v>
      </x:c>
      <x:c r="D27" s="7" t="n">
        <x:v>-21.478645415250554</x:v>
      </x:c>
      <x:c r="E27" s="1" t="str">
        <x:v>03:33:41.83</x:v>
      </x:c>
      <x:c r="F27" s="1" t="str">
        <x:v>-21:28:43.12</x:v>
      </x:c>
      <x:c r="G27" s="1" t="str">
        <x:f>IF(D27&gt;0,"North",IF(D27&lt;0,"South","Equator"))</x:f>
        <x:v>South</x:v>
      </x:c>
      <x:c r="H27" s="8" t="n">
        <x:f>DEGREES(ACOS(MAX(-1,MIN(1,SIN(RADIANS(D27))*SIN(RADIANS('Sources and method'!$B$5))+COS(RADIANS(D27))*COS(RADIANS('Sources and method'!$B$5))*COS(RADIANS(C27-'Sources and method'!$B$4))))))</x:f>
        <x:v>14.01128923001954</x:v>
      </x:c>
      <x:c r="I27" s="1" t="str">
        <x:v>2026-08-29T11:56:28</x:v>
      </x:c>
      <x:c r="J27" s="9" t="str"/>
      <x:c r="K27" s="9" t="str">
        <x:v>all182_cleanliness_decisions.csv</x:v>
      </x:c>
      <x:c r="L27" s="9" t="str">
        <x:v>IC1953.phot.1.fits</x:v>
      </x:c>
      <x:c r="M27" s="9" t="str">
        <x:v>Polluted</x:v>
      </x:c>
    </x:row>
    <x:row r="28" ht="15" hidden="0" customHeight="1">
      <x:c r="A28" s="1" t="str">
        <x:v>IC1954</x:v>
      </x:c>
      <x:c r="B28" s="1" t="str">
        <x:v>Clean</x:v>
      </x:c>
      <x:c r="C28" s="7" t="n">
        <x:v>52.87970876034911</x:v>
      </x:c>
      <x:c r="D28" s="7" t="n">
        <x:v>-51.9048620747907</x:v>
      </x:c>
      <x:c r="E28" s="1" t="str">
        <x:v>03:31:31.13</x:v>
      </x:c>
      <x:c r="F28" s="1" t="str">
        <x:v>-51:54:17.50</x:v>
      </x:c>
      <x:c r="G28" s="1" t="str">
        <x:f>IF(D28&gt;0,"North",IF(D28&lt;0,"South","Equator"))</x:f>
        <x:v>South</x:v>
      </x:c>
      <x:c r="H28" s="8" t="n">
        <x:f>DEGREES(ACOS(MAX(-1,MIN(1,SIN(RADIANS(D28))*SIN(RADIANS('Sources and method'!$B$5))+COS(RADIANS(D28))*COS(RADIANS('Sources and method'!$B$5))*COS(RADIANS(C28-'Sources and method'!$B$4))))))</x:f>
        <x:v>16.501011931657203</x:v>
      </x:c>
      <x:c r="I28" s="1" t="str">
        <x:v>2026-08-29T11:54:11</x:v>
      </x:c>
      <x:c r="J28" s="9" t="str"/>
      <x:c r="K28" s="9" t="str">
        <x:v>all182_cleanliness_decisions.csv</x:v>
      </x:c>
      <x:c r="L28" s="9" t="str">
        <x:v>IC1954.phot.1.fits</x:v>
      </x:c>
      <x:c r="M28" s="9" t="str">
        <x:v>Clean</x:v>
      </x:c>
    </x:row>
    <x:row r="29" ht="15" hidden="0" customHeight="1">
      <x:c r="A29" s="1" t="str">
        <x:v>IC2007</x:v>
      </x:c>
      <x:c r="B29" s="1" t="str">
        <x:v>Polluted</x:v>
      </x:c>
      <x:c r="C29" s="7" t="n">
        <x:v>58.84525536100427</x:v>
      </x:c>
      <x:c r="D29" s="7" t="n">
        <x:v>-28.157766186572484</x:v>
      </x:c>
      <x:c r="E29" s="1" t="str">
        <x:v>03:55:22.86</x:v>
      </x:c>
      <x:c r="F29" s="1" t="str">
        <x:v>-28:09:27.96</x:v>
      </x:c>
      <x:c r="G29" s="1" t="str">
        <x:f>IF(D29&gt;0,"North",IF(D29&lt;0,"South","Equator"))</x:f>
        <x:v>South</x:v>
      </x:c>
      <x:c r="H29" s="8" t="n">
        <x:f>DEGREES(ACOS(MAX(-1,MIN(1,SIN(RADIANS(D29))*SIN(RADIANS('Sources and method'!$B$5))+COS(RADIANS(D29))*COS(RADIANS('Sources and method'!$B$5))*COS(RADIANS(C29-'Sources and method'!$B$4))))))</x:f>
        <x:v>8.126214239212837</x:v>
      </x:c>
      <x:c r="I29" s="1" t="str">
        <x:v>2026-08-29T11:56:28</x:v>
      </x:c>
      <x:c r="J29" s="9" t="str"/>
      <x:c r="K29" s="9" t="str">
        <x:v>all182_cleanliness_decisions.csv</x:v>
      </x:c>
      <x:c r="L29" s="9" t="str">
        <x:v>IC2007.phot.1.fits</x:v>
      </x:c>
      <x:c r="M29" s="9" t="str">
        <x:v>Polluted</x:v>
      </x:c>
    </x:row>
    <x:row r="30" ht="15" hidden="0" customHeight="1">
      <x:c r="A30" s="1" t="str">
        <x:v>IC3115</x:v>
      </x:c>
      <x:c r="B30" s="1" t="str">
        <x:v>Polluted</x:v>
      </x:c>
      <x:c r="C30" s="7" t="n">
        <x:v>184.4995845858737</x:v>
      </x:c>
      <x:c r="D30" s="7" t="n">
        <x:v>6.654240126277504</x:v>
      </x:c>
      <x:c r="E30" s="1" t="str">
        <x:v>12:17:59.90</x:v>
      </x:c>
      <x:c r="F30" s="1" t="str">
        <x:v>+06:39:15.26</x:v>
      </x:c>
      <x:c r="G30" s="1" t="str">
        <x:f>IF(D30&gt;0,"North",IF(D30&lt;0,"South","Equator"))</x:f>
        <x:v>North</x:v>
      </x:c>
      <x:c r="H30" s="8" t="n">
        <x:f>DEGREES(ACOS(MAX(-1,MIN(1,SIN(RADIANS(D30))*SIN(RADIANS('Sources and method'!$B$5))+COS(RADIANS(D30))*COS(RADIANS('Sources and method'!$B$5))*COS(RADIANS(C30-'Sources and method'!$B$4))))))</x:f>
        <x:v>125.87291634901314</x:v>
      </x:c>
      <x:c r="I30" s="1" t="str">
        <x:v>2026-08-29T11:55:45</x:v>
      </x:c>
      <x:c r="J30" s="9" t="str"/>
      <x:c r="K30" s="9" t="str">
        <x:v>all182_cleanliness_decisions.csv</x:v>
      </x:c>
      <x:c r="L30" s="9" t="str">
        <x:v>IC3115.phot.1.fits</x:v>
      </x:c>
      <x:c r="M30" s="9" t="str">
        <x:v>Polluted</x:v>
      </x:c>
    </x:row>
    <x:row r="31" ht="15" hidden="0" customHeight="1">
      <x:c r="A31" s="1" t="str">
        <x:v>IC3517</x:v>
      </x:c>
      <x:c r="B31" s="1" t="str">
        <x:v>Polluted</x:v>
      </x:c>
      <x:c r="C31" s="7" t="n">
        <x:v>188.62879382762708</x:v>
      </x:c>
      <x:c r="D31" s="7" t="n">
        <x:v>9.154302111195518</x:v>
      </x:c>
      <x:c r="E31" s="1" t="str">
        <x:v>12:34:30.91</x:v>
      </x:c>
      <x:c r="F31" s="1" t="str">
        <x:v>+09:09:15.49</x:v>
      </x:c>
      <x:c r="G31" s="1" t="str">
        <x:f>IF(D31&gt;0,"North",IF(D31&lt;0,"South","Equator"))</x:f>
        <x:v>North</x:v>
      </x:c>
      <x:c r="H31" s="8" t="n">
        <x:f>DEGREES(ACOS(MAX(-1,MIN(1,SIN(RADIANS(D31))*SIN(RADIANS('Sources and method'!$B$5))+COS(RADIANS(D31))*COS(RADIANS('Sources and method'!$B$5))*COS(RADIANS(C31-'Sources and method'!$B$4))))))</x:f>
        <x:v>130.61878872325318</x:v>
      </x:c>
      <x:c r="I31" s="1" t="str">
        <x:v>2026-08-29T11:54:38</x:v>
      </x:c>
      <x:c r="J31" s="9" t="str"/>
      <x:c r="K31" s="9" t="str">
        <x:v>all182_cleanliness_decisions.csv</x:v>
      </x:c>
      <x:c r="L31" s="9" t="str">
        <x:v>IC3517.phot.1.fits</x:v>
      </x:c>
      <x:c r="M31" s="9" t="str">
        <x:v>Polluted</x:v>
      </x:c>
    </x:row>
    <x:row r="32" ht="15" hidden="0" customHeight="1">
      <x:c r="A32" s="1" t="str">
        <x:v>IC3521</x:v>
      </x:c>
      <x:c r="B32" s="1" t="str">
        <x:v>Unreviewed</x:v>
      </x:c>
      <x:c r="C32" s="7" t="n">
        <x:v>188.66456943308927</x:v>
      </x:c>
      <x:c r="D32" s="7" t="n">
        <x:v>7.160117504584103</x:v>
      </x:c>
      <x:c r="E32" s="1" t="str">
        <x:v>12:34:39.50</x:v>
      </x:c>
      <x:c r="F32" s="1" t="str">
        <x:v>+07:09:36.42</x:v>
      </x:c>
      <x:c r="G32" s="1" t="str">
        <x:f>IF(D32&gt;0,"North",IF(D32&lt;0,"South","Equator"))</x:f>
        <x:v>North</x:v>
      </x:c>
      <x:c r="H32" s="8" t="n">
        <x:f>DEGREES(ACOS(MAX(-1,MIN(1,SIN(RADIANS(D32))*SIN(RADIANS('Sources and method'!$B$5))+COS(RADIANS(D32))*COS(RADIANS('Sources and method'!$B$5))*COS(RADIANS(C32-'Sources and method'!$B$4))))))</x:f>
        <x:v>129.3606066980864</x:v>
      </x:c>
      <x:c r="I32" s="1" t="str"/>
      <x:c r="J32" s="9" t="str"/>
      <x:c r="K32" s="9" t="str">
        <x:v>No recorded categorical review</x:v>
      </x:c>
      <x:c r="L32" s="9" t="str">
        <x:v>IC3521.phot.1.fits</x:v>
      </x:c>
      <x:c r="M32" s="9" t="str">
        <x:v>Unreviewed</x:v>
      </x:c>
    </x:row>
    <x:row r="33" ht="15" hidden="0" customHeight="1">
      <x:c r="A33" s="1" t="str">
        <x:v>IC4901</x:v>
      </x:c>
      <x:c r="B33" s="1" t="str">
        <x:v>Polluted</x:v>
      </x:c>
      <x:c r="C33" s="7" t="n">
        <x:v>298.59820372924395</x:v>
      </x:c>
      <x:c r="D33" s="7" t="n">
        <x:v>-58.71358656848465</x:v>
      </x:c>
      <x:c r="E33" s="1" t="str">
        <x:v>19:54:23.57</x:v>
      </x:c>
      <x:c r="F33" s="1" t="str">
        <x:v>-58:42:48.91</x:v>
      </x:c>
      <x:c r="G33" s="1" t="str">
        <x:f>IF(D33&gt;0,"North",IF(D33&lt;0,"South","Equator"))</x:f>
        <x:v>South</x:v>
      </x:c>
      <x:c r="H33" s="8" t="n">
        <x:f>DEGREES(ACOS(MAX(-1,MIN(1,SIN(RADIANS(D33))*SIN(RADIANS('Sources and method'!$B$5))+COS(RADIANS(D33))*COS(RADIANS('Sources and method'!$B$5))*COS(RADIANS(C33-'Sources and method'!$B$4))))))</x:f>
        <x:v>71.93728597226834</x:v>
      </x:c>
      <x:c r="I33" s="1" t="str">
        <x:v>2026-08-29T11:55:04</x:v>
      </x:c>
      <x:c r="J33" s="9" t="str"/>
      <x:c r="K33" s="9" t="str">
        <x:v>all182_cleanliness_decisions.csv</x:v>
      </x:c>
      <x:c r="L33" s="9" t="str">
        <x:v>IC4901.phot.1.fits</x:v>
      </x:c>
      <x:c r="M33" s="9" t="str">
        <x:v>Polluted</x:v>
      </x:c>
    </x:row>
    <x:row r="34" ht="15" hidden="0" customHeight="1">
      <x:c r="A34" s="1" t="str">
        <x:v>IC5273</x:v>
      </x:c>
      <x:c r="B34" s="1" t="str">
        <x:v>Unreviewed</x:v>
      </x:c>
      <x:c r="C34" s="7" t="n">
        <x:v>344.86117890000435</x:v>
      </x:c>
      <x:c r="D34" s="7" t="n">
        <x:v>-37.70283917178881</x:v>
      </x:c>
      <x:c r="E34" s="1" t="str">
        <x:v>22:59:26.68</x:v>
      </x:c>
      <x:c r="F34" s="1" t="str">
        <x:v>-37:42:10.22</x:v>
      </x:c>
      <x:c r="G34" s="1" t="str">
        <x:f>IF(D34&gt;0,"North",IF(D34&lt;0,"South","Equator"))</x:f>
        <x:v>South</x:v>
      </x:c>
      <x:c r="H34" s="8" t="n">
        <x:f>DEGREES(ACOS(MAX(-1,MIN(1,SIN(RADIANS(D34))*SIN(RADIANS('Sources and method'!$B$5))+COS(RADIANS(D34))*COS(RADIANS('Sources and method'!$B$5))*COS(RADIANS(C34-'Sources and method'!$B$4))))))</x:f>
        <x:v>54.71225187094414</x:v>
      </x:c>
      <x:c r="I34" s="1" t="str"/>
      <x:c r="J34" s="9" t="str"/>
      <x:c r="K34" s="9" t="str">
        <x:v>No recorded categorical review</x:v>
      </x:c>
      <x:c r="L34" s="9" t="str">
        <x:v>IC5273.phot.1.fits</x:v>
      </x:c>
      <x:c r="M34" s="9" t="str">
        <x:v>Unreviewed</x:v>
      </x:c>
    </x:row>
    <x:row r="35" ht="15" hidden="0" customHeight="1">
      <x:c r="A35" s="1" t="str">
        <x:v>NGC0210</x:v>
      </x:c>
      <x:c r="B35" s="1" t="str">
        <x:v>Polluted</x:v>
      </x:c>
      <x:c r="C35" s="7" t="n">
        <x:v>10.145695489928782</x:v>
      </x:c>
      <x:c r="D35" s="7" t="n">
        <x:v>-13.872792909287067</x:v>
      </x:c>
      <x:c r="E35" s="1" t="str">
        <x:v>00:40:34.97</x:v>
      </x:c>
      <x:c r="F35" s="1" t="str">
        <x:v>-13:52:22.05</x:v>
      </x:c>
      <x:c r="G35" s="1" t="str">
        <x:f>IF(D35&gt;0,"North",IF(D35&lt;0,"South","Equator"))</x:f>
        <x:v>South</x:v>
      </x:c>
      <x:c r="H35" s="8" t="n">
        <x:f>DEGREES(ACOS(MAX(-1,MIN(1,SIN(RADIANS(D35))*SIN(RADIANS('Sources and method'!$B$5))+COS(RADIANS(D35))*COS(RADIANS('Sources and method'!$B$5))*COS(RADIANS(C35-'Sources and method'!$B$4))))))</x:f>
        <x:v>45.30129586505643</x:v>
      </x:c>
      <x:c r="I35" s="1" t="str">
        <x:v>2026-08-29T11:57:19</x:v>
      </x:c>
      <x:c r="J35" s="9" t="str"/>
      <x:c r="K35" s="9" t="str">
        <x:v>all182_cleanliness_decisions.csv</x:v>
      </x:c>
      <x:c r="L35" s="9" t="str">
        <x:v>NGC0210.phot.1.fits</x:v>
      </x:c>
      <x:c r="M35" s="9" t="str">
        <x:v>Polluted</x:v>
      </x:c>
    </x:row>
    <x:row r="36" ht="15" hidden="0" customHeight="1">
      <x:c r="A36" s="1" t="str">
        <x:v>NGC0255</x:v>
      </x:c>
      <x:c r="B36" s="1" t="str">
        <x:v>Unreviewed</x:v>
      </x:c>
      <x:c r="C36" s="7" t="n">
        <x:v>11.946800546006648</x:v>
      </x:c>
      <x:c r="D36" s="7" t="n">
        <x:v>-11.468614557966452</x:v>
      </x:c>
      <x:c r="E36" s="1" t="str">
        <x:v>00:47:47.23</x:v>
      </x:c>
      <x:c r="F36" s="1" t="str">
        <x:v>-11:28:07.01</x:v>
      </x:c>
      <x:c r="G36" s="1" t="str">
        <x:f>IF(D36&gt;0,"North",IF(D36&lt;0,"South","Equator"))</x:f>
        <x:v>South</x:v>
      </x:c>
      <x:c r="H36" s="8" t="n">
        <x:f>DEGREES(ACOS(MAX(-1,MIN(1,SIN(RADIANS(D36))*SIN(RADIANS('Sources and method'!$B$5))+COS(RADIANS(D36))*COS(RADIANS('Sources and method'!$B$5))*COS(RADIANS(C36-'Sources and method'!$B$4))))))</x:f>
        <x:v>45.38950292204559</x:v>
      </x:c>
      <x:c r="I36" s="1" t="str"/>
      <x:c r="J36" s="9" t="str"/>
      <x:c r="K36" s="9" t="str">
        <x:v>No recorded categorical review</x:v>
      </x:c>
      <x:c r="L36" s="9" t="str">
        <x:v>NGC0255.phot.1.fits</x:v>
      </x:c>
      <x:c r="M36" s="9" t="str">
        <x:v>Unreviewed</x:v>
      </x:c>
    </x:row>
    <x:row r="37" ht="15" hidden="0" customHeight="1">
      <x:c r="A37" s="1" t="str">
        <x:v>NGC0289</x:v>
      </x:c>
      <x:c r="B37" s="1" t="str">
        <x:v>Clean</x:v>
      </x:c>
      <x:c r="C37" s="7" t="n">
        <x:v>13.176123612766588</x:v>
      </x:c>
      <x:c r="D37" s="7" t="n">
        <x:v>-31.20582665573653</x:v>
      </x:c>
      <x:c r="E37" s="1" t="str">
        <x:v>00:52:42.27</x:v>
      </x:c>
      <x:c r="F37" s="1" t="str">
        <x:v>-31:12:20.98</x:v>
      </x:c>
      <x:c r="G37" s="1" t="str">
        <x:f>IF(D37&gt;0,"North",IF(D37&lt;0,"South","Equator"))</x:f>
        <x:v>South</x:v>
      </x:c>
      <x:c r="H37" s="8" t="n">
        <x:f>DEGREES(ACOS(MAX(-1,MIN(1,SIN(RADIANS(D37))*SIN(RADIANS('Sources and method'!$B$5))+COS(RADIANS(D37))*COS(RADIANS('Sources and method'!$B$5))*COS(RADIANS(C37-'Sources and method'!$B$4))))))</x:f>
        <x:v>34.63550225989388</x:v>
      </x:c>
      <x:c r="I37" s="1" t="str">
        <x:v>2026-08-29T11:55:24</x:v>
      </x:c>
      <x:c r="J37" s="9" t="str"/>
      <x:c r="K37" s="9" t="str">
        <x:v>all182_cleanliness_decisions.csv</x:v>
      </x:c>
      <x:c r="L37" s="9" t="str">
        <x:v>NGC0289.phot.1.fits</x:v>
      </x:c>
      <x:c r="M37" s="9" t="str">
        <x:v>Clean</x:v>
      </x:c>
    </x:row>
    <x:row r="38" ht="15" hidden="0" customHeight="1">
      <x:c r="A38" s="1" t="str">
        <x:v>NGC0298</x:v>
      </x:c>
      <x:c r="B38" s="1" t="str">
        <x:v>Polluted</x:v>
      </x:c>
      <x:c r="C38" s="7" t="n">
        <x:v>13.75951174356704</x:v>
      </x:c>
      <x:c r="D38" s="7" t="n">
        <x:v>-7.3329695707212705</x:v>
      </x:c>
      <x:c r="E38" s="1" t="str">
        <x:v>00:55:02.28</x:v>
      </x:c>
      <x:c r="F38" s="1" t="str">
        <x:v>-07:19:58.69</x:v>
      </x:c>
      <x:c r="G38" s="1" t="str">
        <x:f>IF(D38&gt;0,"North",IF(D38&lt;0,"South","Equator"))</x:f>
        <x:v>South</x:v>
      </x:c>
      <x:c r="H38" s="8" t="n">
        <x:f>DEGREES(ACOS(MAX(-1,MIN(1,SIN(RADIANS(D38))*SIN(RADIANS('Sources and method'!$B$5))+COS(RADIANS(D38))*COS(RADIANS('Sources and method'!$B$5))*COS(RADIANS(C38-'Sources and method'!$B$4))))))</x:f>
        <x:v>46.758426590413684</x:v>
      </x:c>
      <x:c r="I38" s="1" t="str">
        <x:v>2026-08-29T11:54:17</x:v>
      </x:c>
      <x:c r="J38" s="9" t="str"/>
      <x:c r="K38" s="9" t="str">
        <x:v>all182_cleanliness_decisions.csv</x:v>
      </x:c>
      <x:c r="L38" s="9" t="str">
        <x:v>NGC0298.phot.1.fits</x:v>
      </x:c>
      <x:c r="M38" s="9" t="str">
        <x:v>Polluted</x:v>
      </x:c>
    </x:row>
    <x:row r="39" ht="15" hidden="0" customHeight="1">
      <x:c r="A39" s="1" t="str">
        <x:v>NGC0578</x:v>
      </x:c>
      <x:c r="B39" s="1" t="str">
        <x:v>Clean</x:v>
      </x:c>
      <x:c r="C39" s="7" t="n">
        <x:v>22.619051602300832</x:v>
      </x:c>
      <x:c r="D39" s="7" t="n">
        <x:v>-22.66707124549552</x:v>
      </x:c>
      <x:c r="E39" s="1" t="str">
        <x:v>01:30:28.57</x:v>
      </x:c>
      <x:c r="F39" s="1" t="str">
        <x:v>-22:40:01.46</x:v>
      </x:c>
      <x:c r="G39" s="1" t="str">
        <x:f>IF(D39&gt;0,"North",IF(D39&lt;0,"South","Equator"))</x:f>
        <x:v>South</x:v>
      </x:c>
      <x:c r="H39" s="8" t="n">
        <x:f>DEGREES(ACOS(MAX(-1,MIN(1,SIN(RADIANS(D39))*SIN(RADIANS('Sources and method'!$B$5))+COS(RADIANS(D39))*COS(RADIANS('Sources and method'!$B$5))*COS(RADIANS(C39-'Sources and method'!$B$4))))))</x:f>
        <x:v>30.57360732908289</x:v>
      </x:c>
      <x:c r="I39" s="1" t="str">
        <x:v>2026-08-29T11:56:13</x:v>
      </x:c>
      <x:c r="J39" s="9" t="str"/>
      <x:c r="K39" s="9" t="str">
        <x:v>all182_cleanliness_decisions.csv</x:v>
      </x:c>
      <x:c r="L39" s="9" t="str">
        <x:v>NGC0578.phot.1.fits</x:v>
      </x:c>
      <x:c r="M39" s="9" t="str">
        <x:v>Clean</x:v>
      </x:c>
    </x:row>
    <x:row r="40" ht="15" hidden="0" customHeight="1">
      <x:c r="A40" s="1" t="str">
        <x:v>NGC0600</x:v>
      </x:c>
      <x:c r="B40" s="1" t="str">
        <x:v>Unreviewed</x:v>
      </x:c>
      <x:c r="C40" s="7" t="n">
        <x:v>23.271860973119647</x:v>
      </x:c>
      <x:c r="D40" s="7" t="n">
        <x:v>-7.311716645756995</x:v>
      </x:c>
      <x:c r="E40" s="1" t="str">
        <x:v>01:33:05.25</x:v>
      </x:c>
      <x:c r="F40" s="1" t="str">
        <x:v>-07:18:42.18</x:v>
      </x:c>
      <x:c r="G40" s="1" t="str">
        <x:f>IF(D40&gt;0,"North",IF(D40&lt;0,"South","Equator"))</x:f>
        <x:v>South</x:v>
      </x:c>
      <x:c r="H40" s="8" t="n">
        <x:f>DEGREES(ACOS(MAX(-1,MIN(1,SIN(RADIANS(D40))*SIN(RADIANS('Sources and method'!$B$5))+COS(RADIANS(D40))*COS(RADIANS('Sources and method'!$B$5))*COS(RADIANS(C40-'Sources and method'!$B$4))))))</x:f>
        <x:v>40.19535015461554</x:v>
      </x:c>
      <x:c r="I40" s="1" t="str"/>
      <x:c r="J40" s="9" t="str"/>
      <x:c r="K40" s="9" t="str">
        <x:v>No recorded categorical review</x:v>
      </x:c>
      <x:c r="L40" s="9" t="str">
        <x:v>NGC0600.phot.1.fits</x:v>
      </x:c>
      <x:c r="M40" s="9" t="str">
        <x:v>Unreviewed</x:v>
      </x:c>
    </x:row>
    <x:row r="41" ht="15" hidden="0" customHeight="1">
      <x:c r="A41" s="1" t="str">
        <x:v>NGC0672</x:v>
      </x:c>
      <x:c r="B41" s="1" t="str">
        <x:v>Polluted</x:v>
      </x:c>
      <x:c r="C41" s="7" t="n">
        <x:v>26.974978458489815</x:v>
      </x:c>
      <x:c r="D41" s="7" t="n">
        <x:v>27.43225440815661</x:v>
      </x:c>
      <x:c r="E41" s="1" t="str">
        <x:v>01:47:53.99</x:v>
      </x:c>
      <x:c r="F41" s="1" t="str">
        <x:v>+27:25:56.12</x:v>
      </x:c>
      <x:c r="G41" s="1" t="str">
        <x:f>IF(D41&gt;0,"North",IF(D41&lt;0,"South","Equator"))</x:f>
        <x:v>North</x:v>
      </x:c>
      <x:c r="H41" s="8" t="n">
        <x:f>DEGREES(ACOS(MAX(-1,MIN(1,SIN(RADIANS(D41))*SIN(RADIANS('Sources and method'!$B$5))+COS(RADIANS(D41))*COS(RADIANS('Sources and method'!$B$5))*COS(RADIANS(C41-'Sources and method'!$B$4))))))</x:f>
        <x:v>68.08305793913021</x:v>
      </x:c>
      <x:c r="I41" s="1" t="str">
        <x:v>2026-08-27T19:42:51</x:v>
      </x:c>
      <x:c r="J41" s="9" t="str"/>
      <x:c r="K41" s="9" t="str">
        <x:v>blind_remaining_decisions.csv</x:v>
      </x:c>
      <x:c r="L41" s="9" t="str">
        <x:v>NGC0672.phot.1.fits</x:v>
      </x:c>
      <x:c r="M41" s="9" t="str">
        <x:v>Unreviewed</x:v>
      </x:c>
    </x:row>
    <x:row r="42" ht="15" hidden="0" customHeight="1">
      <x:c r="A42" s="1" t="str">
        <x:v>NGC0685</x:v>
      </x:c>
      <x:c r="B42" s="1" t="str">
        <x:v>Polluted</x:v>
      </x:c>
      <x:c r="C42" s="7" t="n">
        <x:v>26.928451096082217</x:v>
      </x:c>
      <x:c r="D42" s="7" t="n">
        <x:v>-52.76197747269617</x:v>
      </x:c>
      <x:c r="E42" s="1" t="str">
        <x:v>01:47:42.83</x:v>
      </x:c>
      <x:c r="F42" s="1" t="str">
        <x:v>-52:45:43.12</x:v>
      </x:c>
      <x:c r="G42" s="1" t="str">
        <x:f>IF(D42&gt;0,"North",IF(D42&lt;0,"South","Equator"))</x:f>
        <x:v>South</x:v>
      </x:c>
      <x:c r="H42" s="8" t="n">
        <x:f>DEGREES(ACOS(MAX(-1,MIN(1,SIN(RADIANS(D42))*SIN(RADIANS('Sources and method'!$B$5))+COS(RADIANS(D42))*COS(RADIANS('Sources and method'!$B$5))*COS(RADIANS(C42-'Sources and method'!$B$4))))))</x:f>
        <x:v>26.072734610277905</x:v>
      </x:c>
      <x:c r="I42" s="1" t="str">
        <x:v>2026-08-29T11:54:59</x:v>
      </x:c>
      <x:c r="J42" s="9" t="str"/>
      <x:c r="K42" s="9" t="str">
        <x:v>all182_cleanliness_decisions.csv</x:v>
      </x:c>
      <x:c r="L42" s="9" t="str">
        <x:v>NGC0685.phot.1.fits</x:v>
      </x:c>
      <x:c r="M42" s="9" t="str">
        <x:v>Polluted</x:v>
      </x:c>
    </x:row>
    <x:row r="43" ht="15" hidden="0" customHeight="1">
      <x:c r="A43" s="1" t="str">
        <x:v>NGC0701</x:v>
      </x:c>
      <x:c r="B43" s="1" t="str">
        <x:v>Polluted</x:v>
      </x:c>
      <x:c r="C43" s="7" t="n">
        <x:v>27.76486878894128</x:v>
      </x:c>
      <x:c r="D43" s="7" t="n">
        <x:v>-9.703163039752921</x:v>
      </x:c>
      <x:c r="E43" s="1" t="str">
        <x:v>01:51:03.57</x:v>
      </x:c>
      <x:c r="F43" s="1" t="str">
        <x:v>-09:42:11.39</x:v>
      </x:c>
      <x:c r="G43" s="1" t="str">
        <x:f>IF(D43&gt;0,"North",IF(D43&lt;0,"South","Equator"))</x:f>
        <x:v>South</x:v>
      </x:c>
      <x:c r="H43" s="8" t="n">
        <x:f>DEGREES(ACOS(MAX(-1,MIN(1,SIN(RADIANS(D43))*SIN(RADIANS('Sources and method'!$B$5))+COS(RADIANS(D43))*COS(RADIANS('Sources and method'!$B$5))*COS(RADIANS(C43-'Sources and method'!$B$4))))))</x:f>
        <x:v>35.50043855873122</x:v>
      </x:c>
      <x:c r="I43" s="1" t="str">
        <x:v>2026-08-29T11:55:43</x:v>
      </x:c>
      <x:c r="J43" s="9" t="str"/>
      <x:c r="K43" s="9" t="str">
        <x:v>all182_cleanliness_decisions.csv</x:v>
      </x:c>
      <x:c r="L43" s="9" t="str">
        <x:v>NGC0701.phot.1.fits</x:v>
      </x:c>
      <x:c r="M43" s="9" t="str">
        <x:v>Polluted</x:v>
      </x:c>
    </x:row>
    <x:row r="44" ht="15" hidden="0" customHeight="1">
      <x:c r="A44" s="1" t="str">
        <x:v>NGC0918</x:v>
      </x:c>
      <x:c r="B44" s="1" t="str">
        <x:v>Unreviewed</x:v>
      </x:c>
      <x:c r="C44" s="7" t="n">
        <x:v>36.4616696070627</x:v>
      </x:c>
      <x:c r="D44" s="7" t="n">
        <x:v>18.496318745125386</x:v>
      </x:c>
      <x:c r="E44" s="1" t="str">
        <x:v>02:25:50.80</x:v>
      </x:c>
      <x:c r="F44" s="1" t="str">
        <x:v>+18:29:46.75</x:v>
      </x:c>
      <x:c r="G44" s="1" t="str">
        <x:f>IF(D44&gt;0,"North",IF(D44&lt;0,"South","Equator"))</x:f>
        <x:v>North</x:v>
      </x:c>
      <x:c r="H44" s="8" t="n">
        <x:f>DEGREES(ACOS(MAX(-1,MIN(1,SIN(RADIANS(D44))*SIN(RADIANS('Sources and method'!$B$5))+COS(RADIANS(D44))*COS(RADIANS('Sources and method'!$B$5))*COS(RADIANS(C44-'Sources and method'!$B$4))))))</x:f>
        <x:v>56.629247111079536</x:v>
      </x:c>
      <x:c r="I44" s="1" t="str"/>
      <x:c r="J44" s="9" t="str"/>
      <x:c r="K44" s="9" t="str">
        <x:v>No recorded categorical review</x:v>
      </x:c>
      <x:c r="L44" s="9" t="str">
        <x:v>NGC0918.phot.1.fits</x:v>
      </x:c>
      <x:c r="M44" s="9" t="str">
        <x:v>Unreviewed</x:v>
      </x:c>
    </x:row>
    <x:row r="45" ht="15" hidden="0" customHeight="1">
      <x:c r="A45" s="1" t="str">
        <x:v>NGC0986</x:v>
      </x:c>
      <x:c r="B45" s="1" t="str">
        <x:v>Clean</x:v>
      </x:c>
      <x:c r="C45" s="7" t="n">
        <x:v>38.39308606226422</x:v>
      </x:c>
      <x:c r="D45" s="7" t="n">
        <x:v>-39.04499658089678</x:v>
      </x:c>
      <x:c r="E45" s="1" t="str">
        <x:v>02:33:34.34</x:v>
      </x:c>
      <x:c r="F45" s="1" t="str">
        <x:v>-39:02:41.99</x:v>
      </x:c>
      <x:c r="G45" s="1" t="str">
        <x:f>IF(D45&gt;0,"North",IF(D45&lt;0,"South","Equator"))</x:f>
        <x:v>South</x:v>
      </x:c>
      <x:c r="H45" s="8" t="n">
        <x:f>DEGREES(ACOS(MAX(-1,MIN(1,SIN(RADIANS(D45))*SIN(RADIANS('Sources and method'!$B$5))+COS(RADIANS(D45))*COS(RADIANS('Sources and method'!$B$5))*COS(RADIANS(C45-'Sources and method'!$B$4))))))</x:f>
        <x:v>13.387764478712283</x:v>
      </x:c>
      <x:c r="I45" s="1" t="str">
        <x:v>2026-08-29T11:55:51</x:v>
      </x:c>
      <x:c r="J45" s="9" t="str"/>
      <x:c r="K45" s="9" t="str">
        <x:v>all182_cleanliness_decisions.csv</x:v>
      </x:c>
      <x:c r="L45" s="9" t="str">
        <x:v>NGC0986.phot.1.fits</x:v>
      </x:c>
      <x:c r="M45" s="9" t="str">
        <x:v>Clean</x:v>
      </x:c>
    </x:row>
    <x:row r="46" ht="15" hidden="0" customHeight="1">
      <x:c r="A46" s="1" t="str">
        <x:v>NGC0991</x:v>
      </x:c>
      <x:c r="B46" s="1" t="str">
        <x:v>Polluted</x:v>
      </x:c>
      <x:c r="C46" s="7" t="n">
        <x:v>38.886128384143696</x:v>
      </x:c>
      <x:c r="D46" s="7" t="n">
        <x:v>-7.154349458279073</x:v>
      </x:c>
      <x:c r="E46" s="1" t="str">
        <x:v>02:35:32.67</x:v>
      </x:c>
      <x:c r="F46" s="1" t="str">
        <x:v>-07:09:15.66</x:v>
      </x:c>
      <x:c r="G46" s="1" t="str">
        <x:f>IF(D46&gt;0,"North",IF(D46&lt;0,"South","Equator"))</x:f>
        <x:v>South</x:v>
      </x:c>
      <x:c r="H46" s="8" t="n">
        <x:f>DEGREES(ACOS(MAX(-1,MIN(1,SIN(RADIANS(D46))*SIN(RADIANS('Sources and method'!$B$5))+COS(RADIANS(D46))*COS(RADIANS('Sources and method'!$B$5))*COS(RADIANS(C46-'Sources and method'!$B$4))))))</x:f>
        <x:v>31.764607733011292</x:v>
      </x:c>
      <x:c r="I46" s="1" t="str">
        <x:v>2026-08-29T11:55:46</x:v>
      </x:c>
      <x:c r="J46" s="9" t="str"/>
      <x:c r="K46" s="9" t="str">
        <x:v>all182_cleanliness_decisions.csv</x:v>
      </x:c>
      <x:c r="L46" s="9" t="str">
        <x:v>NGC0991.phot.1.fits</x:v>
      </x:c>
      <x:c r="M46" s="9" t="str">
        <x:v>Polluted</x:v>
      </x:c>
    </x:row>
    <x:row r="47" ht="15" hidden="0" customHeight="1">
      <x:c r="A47" s="1" t="str">
        <x:v>NGC1022</x:v>
      </x:c>
      <x:c r="B47" s="1" t="str">
        <x:v>Polluted</x:v>
      </x:c>
      <x:c r="C47" s="7" t="n">
        <x:v>39.63627483040934</x:v>
      </x:c>
      <x:c r="D47" s="7" t="n">
        <x:v>-6.677414998833196</x:v>
      </x:c>
      <x:c r="E47" s="1" t="str">
        <x:v>02:38:32.71</x:v>
      </x:c>
      <x:c r="F47" s="1" t="str">
        <x:v>-06:40:38.69</x:v>
      </x:c>
      <x:c r="G47" s="1" t="str">
        <x:f>IF(D47&gt;0,"North",IF(D47&lt;0,"South","Equator"))</x:f>
        <x:v>South</x:v>
      </x:c>
      <x:c r="H47" s="8" t="n">
        <x:f>DEGREES(ACOS(MAX(-1,MIN(1,SIN(RADIANS(D47))*SIN(RADIANS('Sources and method'!$B$5))+COS(RADIANS(D47))*COS(RADIANS('Sources and method'!$B$5))*COS(RADIANS(C47-'Sources and method'!$B$4))))))</x:f>
        <x:v>31.895088831413194</x:v>
      </x:c>
      <x:c r="I47" s="1" t="str">
        <x:v>2026-08-29T11:55:43</x:v>
      </x:c>
      <x:c r="J47" s="9" t="str"/>
      <x:c r="K47" s="9" t="str">
        <x:v>all182_cleanliness_decisions.csv</x:v>
      </x:c>
      <x:c r="L47" s="9" t="str">
        <x:v>NGC1022.phot.1.fits</x:v>
      </x:c>
      <x:c r="M47" s="9" t="str">
        <x:v>Polluted</x:v>
      </x:c>
    </x:row>
    <x:row r="48" ht="15" hidden="0" customHeight="1">
      <x:c r="A48" s="1" t="str">
        <x:v>NGC1051</x:v>
      </x:c>
      <x:c r="B48" s="1" t="str">
        <x:v>Polluted</x:v>
      </x:c>
      <x:c r="C48" s="7" t="n">
        <x:v>40.260378771529375</x:v>
      </x:c>
      <x:c r="D48" s="7" t="n">
        <x:v>-6.935823276955902</x:v>
      </x:c>
      <x:c r="E48" s="1" t="str">
        <x:v>02:41:02.49</x:v>
      </x:c>
      <x:c r="F48" s="1" t="str">
        <x:v>-06:56:08.96</x:v>
      </x:c>
      <x:c r="G48" s="1" t="str">
        <x:f>IF(D48&gt;0,"North",IF(D48&lt;0,"South","Equator"))</x:f>
        <x:v>South</x:v>
      </x:c>
      <x:c r="H48" s="8" t="n">
        <x:f>DEGREES(ACOS(MAX(-1,MIN(1,SIN(RADIANS(D48))*SIN(RADIANS('Sources and method'!$B$5))+COS(RADIANS(D48))*COS(RADIANS('Sources and method'!$B$5))*COS(RADIANS(C48-'Sources and method'!$B$4))))))</x:f>
        <x:v>31.413839892081825</x:v>
      </x:c>
      <x:c r="I48" s="1" t="str">
        <x:v>2026-08-27T19:43:06</x:v>
      </x:c>
      <x:c r="J48" s="9" t="str"/>
      <x:c r="K48" s="9" t="str">
        <x:v>blind_remaining_decisions.csv</x:v>
      </x:c>
      <x:c r="L48" s="9" t="str">
        <x:v>NGC1051.phot.1.fits</x:v>
      </x:c>
      <x:c r="M48" s="9" t="str">
        <x:v>Unreviewed</x:v>
      </x:c>
    </x:row>
    <x:row r="49" ht="15" hidden="0" customHeight="1">
      <x:c r="A49" s="1" t="str">
        <x:v>NGC1097</x:v>
      </x:c>
      <x:c r="B49" s="1" t="str">
        <x:v>Clean</x:v>
      </x:c>
      <x:c r="C49" s="7" t="n">
        <x:v>41.578956581964526</x:v>
      </x:c>
      <x:c r="D49" s="7" t="n">
        <x:v>-30.27467500064819</x:v>
      </x:c>
      <x:c r="E49" s="1" t="str">
        <x:v>02:46:18.95</x:v>
      </x:c>
      <x:c r="F49" s="1" t="str">
        <x:v>-30:16:28.83</x:v>
      </x:c>
      <x:c r="G49" s="1" t="str">
        <x:f>IF(D49&gt;0,"North",IF(D49&lt;0,"South","Equator"))</x:f>
        <x:v>South</x:v>
      </x:c>
      <x:c r="H49" s="8" t="n">
        <x:f>DEGREES(ACOS(MAX(-1,MIN(1,SIN(RADIANS(D49))*SIN(RADIANS('Sources and method'!$B$5))+COS(RADIANS(D49))*COS(RADIANS('Sources and method'!$B$5))*COS(RADIANS(C49-'Sources and method'!$B$4))))))</x:f>
        <x:v>12.10244538365145</x:v>
      </x:c>
      <x:c r="I49" s="1" t="str">
        <x:v>2026-08-29T11:57:07</x:v>
      </x:c>
      <x:c r="J49" s="9" t="str"/>
      <x:c r="K49" s="9" t="str">
        <x:v>all182_cleanliness_decisions.csv</x:v>
      </x:c>
      <x:c r="L49" s="9" t="str">
        <x:v>NGC1097.phot.1.fits</x:v>
      </x:c>
      <x:c r="M49" s="9" t="str">
        <x:v>Clean</x:v>
      </x:c>
    </x:row>
    <x:row r="50" ht="15" hidden="0" customHeight="1">
      <x:c r="A50" s="1" t="str">
        <x:v>NGC1187</x:v>
      </x:c>
      <x:c r="B50" s="1" t="str">
        <x:v>Polluted</x:v>
      </x:c>
      <x:c r="C50" s="7" t="n">
        <x:v>45.6565628483175</x:v>
      </x:c>
      <x:c r="D50" s="7" t="n">
        <x:v>-22.867101665852886</x:v>
      </x:c>
      <x:c r="E50" s="1" t="str">
        <x:v>03:02:37.58</x:v>
      </x:c>
      <x:c r="F50" s="1" t="str">
        <x:v>-22:52:01.57</x:v>
      </x:c>
      <x:c r="G50" s="1" t="str">
        <x:f>IF(D50&gt;0,"North",IF(D50&lt;0,"South","Equator"))</x:f>
        <x:v>South</x:v>
      </x:c>
      <x:c r="H50" s="8" t="n">
        <x:f>DEGREES(ACOS(MAX(-1,MIN(1,SIN(RADIANS(D50))*SIN(RADIANS('Sources and method'!$B$5))+COS(RADIANS(D50))*COS(RADIANS('Sources and method'!$B$5))*COS(RADIANS(C50-'Sources and method'!$B$4))))))</x:f>
        <x:v>14.802926846764812</x:v>
      </x:c>
      <x:c r="I50" s="1" t="str">
        <x:v>2026-08-27T19:41:44</x:v>
      </x:c>
      <x:c r="J50" s="9" t="str"/>
      <x:c r="K50" s="9" t="str">
        <x:v>blind_remaining_decisions.csv</x:v>
      </x:c>
      <x:c r="L50" s="9" t="str">
        <x:v>NGC1187.phot.1.fits</x:v>
      </x:c>
      <x:c r="M50" s="9" t="str">
        <x:v>Unreviewed</x:v>
      </x:c>
    </x:row>
    <x:row r="51" ht="15" hidden="0" customHeight="1">
      <x:c r="A51" s="1" t="str">
        <x:v>NGC1255</x:v>
      </x:c>
      <x:c r="B51" s="1" t="str">
        <x:v>Clean</x:v>
      </x:c>
      <x:c r="C51" s="7" t="n">
        <x:v>48.38331771058789</x:v>
      </x:c>
      <x:c r="D51" s="7" t="n">
        <x:v>-25.72510666866068</x:v>
      </x:c>
      <x:c r="E51" s="1" t="str">
        <x:v>03:13:32.00</x:v>
      </x:c>
      <x:c r="F51" s="1" t="str">
        <x:v>-25:43:30.38</x:v>
      </x:c>
      <x:c r="G51" s="1" t="str">
        <x:f>IF(D51&gt;0,"North",IF(D51&lt;0,"South","Equator"))</x:f>
        <x:v>South</x:v>
      </x:c>
      <x:c r="H51" s="8" t="n">
        <x:f>DEGREES(ACOS(MAX(-1,MIN(1,SIN(RADIANS(D51))*SIN(RADIANS('Sources and method'!$B$5))+COS(RADIANS(D51))*COS(RADIANS('Sources and method'!$B$5))*COS(RADIANS(C51-'Sources and method'!$B$4))))))</x:f>
        <x:v>11.10287929894995</x:v>
      </x:c>
      <x:c r="I51" s="1" t="str">
        <x:v>2026-08-27T18:56:57</x:v>
      </x:c>
      <x:c r="J51" s="9" t="str"/>
      <x:c r="K51" s="9" t="str">
        <x:v>blind_audit_decisions.csv</x:v>
      </x:c>
      <x:c r="L51" s="9" t="str">
        <x:v>NGC1255.phot.1.fits</x:v>
      </x:c>
      <x:c r="M51" s="9" t="str">
        <x:v>Unreviewed</x:v>
      </x:c>
    </x:row>
    <x:row r="52" ht="15" hidden="0" customHeight="1">
      <x:c r="A52" s="1" t="str">
        <x:v>NGC1291</x:v>
      </x:c>
      <x:c r="B52" s="1" t="str">
        <x:v>Polluted</x:v>
      </x:c>
      <x:c r="C52" s="7" t="n">
        <x:v>49.32730644999618</x:v>
      </x:c>
      <x:c r="D52" s="7" t="n">
        <x:v>-41.107963332082406</x:v>
      </x:c>
      <x:c r="E52" s="1" t="str">
        <x:v>03:17:18.55</x:v>
      </x:c>
      <x:c r="F52" s="1" t="str">
        <x:v>-41:06:28.67</x:v>
      </x:c>
      <x:c r="G52" s="1" t="str">
        <x:f>IF(D52&gt;0,"North",IF(D52&lt;0,"South","Equator"))</x:f>
        <x:v>South</x:v>
      </x:c>
      <x:c r="H52" s="8" t="n">
        <x:f>DEGREES(ACOS(MAX(-1,MIN(1,SIN(RADIANS(D52))*SIN(RADIANS('Sources and method'!$B$5))+COS(RADIANS(D52))*COS(RADIANS('Sources and method'!$B$5))*COS(RADIANS(C52-'Sources and method'!$B$4))))))</x:f>
        <x:v>7.016332112892493</x:v>
      </x:c>
      <x:c r="I52" s="1" t="str">
        <x:v>2026-08-29T11:57:17</x:v>
      </x:c>
      <x:c r="J52" s="9" t="str"/>
      <x:c r="K52" s="9" t="str">
        <x:v>all182_cleanliness_decisions.csv</x:v>
      </x:c>
      <x:c r="L52" s="9" t="str">
        <x:v>NGC1291.phot.1.fits</x:v>
      </x:c>
      <x:c r="M52" s="9" t="str">
        <x:v>Polluted</x:v>
      </x:c>
    </x:row>
    <x:row r="53" ht="15" hidden="0" customHeight="1">
      <x:c r="A53" s="1" t="str">
        <x:v>NGC1302</x:v>
      </x:c>
      <x:c r="B53" s="1" t="str">
        <x:v>Polluted</x:v>
      </x:c>
      <x:c r="C53" s="7" t="n">
        <x:v>49.96333136977302</x:v>
      </x:c>
      <x:c r="D53" s="7" t="n">
        <x:v>-26.060533326911884</x:v>
      </x:c>
      <x:c r="E53" s="1" t="str">
        <x:v>03:19:51.20</x:v>
      </x:c>
      <x:c r="F53" s="1" t="str">
        <x:v>-26:03:37.92</x:v>
      </x:c>
      <x:c r="G53" s="1" t="str">
        <x:f>IF(D53&gt;0,"North",IF(D53&lt;0,"South","Equator"))</x:f>
        <x:v>South</x:v>
      </x:c>
      <x:c r="H53" s="8" t="n">
        <x:f>DEGREES(ACOS(MAX(-1,MIN(1,SIN(RADIANS(D53))*SIN(RADIANS('Sources and method'!$B$5))+COS(RADIANS(D53))*COS(RADIANS('Sources and method'!$B$5))*COS(RADIANS(C53-'Sources and method'!$B$4))))))</x:f>
        <x:v>10.204001248687597</x:v>
      </x:c>
      <x:c r="I53" s="1" t="str">
        <x:v>2026-08-29T11:56:34</x:v>
      </x:c>
      <x:c r="J53" s="9" t="str"/>
      <x:c r="K53" s="9" t="str">
        <x:v>all182_cleanliness_decisions.csv</x:v>
      </x:c>
      <x:c r="L53" s="9" t="str">
        <x:v>NGC1302.phot.1.fits</x:v>
      </x:c>
      <x:c r="M53" s="9" t="str">
        <x:v>Polluted</x:v>
      </x:c>
    </x:row>
    <x:row r="54" ht="15" hidden="0" customHeight="1">
      <x:c r="A54" s="1" t="str">
        <x:v>NGC1313</x:v>
      </x:c>
      <x:c r="B54" s="1" t="str">
        <x:v>Polluted</x:v>
      </x:c>
      <x:c r="C54" s="7" t="n">
        <x:v>49.56625838453192</x:v>
      </x:c>
      <x:c r="D54" s="7" t="n">
        <x:v>-66.49804082460844</x:v>
      </x:c>
      <x:c r="E54" s="1" t="str">
        <x:v>03:18:15.90</x:v>
      </x:c>
      <x:c r="F54" s="1" t="str">
        <x:v>-66:29:52.95</x:v>
      </x:c>
      <x:c r="G54" s="1" t="str">
        <x:f>IF(D54&gt;0,"North",IF(D54&lt;0,"South","Equator"))</x:f>
        <x:v>South</x:v>
      </x:c>
      <x:c r="H54" s="8" t="n">
        <x:f>DEGREES(ACOS(MAX(-1,MIN(1,SIN(RADIANS(D54))*SIN(RADIANS('Sources and method'!$B$5))+COS(RADIANS(D54))*COS(RADIANS('Sources and method'!$B$5))*COS(RADIANS(C54-'Sources and method'!$B$4))))))</x:f>
        <x:v>31.18737533996254</x:v>
      </x:c>
      <x:c r="I54" s="1" t="str">
        <x:v>2026-08-27T19:41:09</x:v>
      </x:c>
      <x:c r="J54" s="9" t="str"/>
      <x:c r="K54" s="9" t="str">
        <x:v>blind_remaining_decisions.csv</x:v>
      </x:c>
      <x:c r="L54" s="9" t="str">
        <x:v>NGC1313.phot.1.fits</x:v>
      </x:c>
      <x:c r="M54" s="9" t="str">
        <x:v>Unreviewed</x:v>
      </x:c>
    </x:row>
    <x:row r="55" ht="15" hidden="0" customHeight="1">
      <x:c r="A55" s="1" t="str">
        <x:v>NGC1326A</x:v>
      </x:c>
      <x:c r="B55" s="1" t="str">
        <x:v>Polluted</x:v>
      </x:c>
      <x:c r="C55" s="7" t="n">
        <x:v>51.28581971668892</x:v>
      </x:c>
      <x:c r="D55" s="7" t="n">
        <x:v>-36.36383747245151</x:v>
      </x:c>
      <x:c r="E55" s="1" t="str">
        <x:v>03:25:08.60</x:v>
      </x:c>
      <x:c r="F55" s="1" t="str">
        <x:v>-36:21:49.81</x:v>
      </x:c>
      <x:c r="G55" s="1" t="str">
        <x:f>IF(D55&gt;0,"North",IF(D55&lt;0,"South","Equator"))</x:f>
        <x:v>South</x:v>
      </x:c>
      <x:c r="H55" s="8" t="n">
        <x:f>DEGREES(ACOS(MAX(-1,MIN(1,SIN(RADIANS(D55))*SIN(RADIANS('Sources and method'!$B$5))+COS(RADIANS(D55))*COS(RADIANS('Sources and method'!$B$5))*COS(RADIANS(C55-'Sources and method'!$B$4))))))</x:f>
        <x:v>2.851474756565766</x:v>
      </x:c>
      <x:c r="I55" s="1" t="str">
        <x:v>2026-08-27T19:44:15</x:v>
      </x:c>
      <x:c r="J55" s="9" t="str"/>
      <x:c r="K55" s="9" t="str">
        <x:v>blind_remaining_decisions.csv</x:v>
      </x:c>
      <x:c r="L55" s="9" t="str">
        <x:v>NGC1326A.phot.1.fits</x:v>
      </x:c>
      <x:c r="M55" s="9" t="str">
        <x:v>Unreviewed</x:v>
      </x:c>
    </x:row>
    <x:row r="56" ht="15" hidden="0" customHeight="1">
      <x:c r="A56" s="1" t="str">
        <x:v>NGC1341</x:v>
      </x:c>
      <x:c r="B56" s="1" t="str">
        <x:v>Polluted</x:v>
      </x:c>
      <x:c r="C56" s="7" t="n">
        <x:v>51.993339202000776</x:v>
      </x:c>
      <x:c r="D56" s="7" t="n">
        <x:v>-37.150203316990606</x:v>
      </x:c>
      <x:c r="E56" s="1" t="str">
        <x:v>03:27:58.40</x:v>
      </x:c>
      <x:c r="F56" s="1" t="str">
        <x:v>-37:09:00.73</x:v>
      </x:c>
      <x:c r="G56" s="1" t="str">
        <x:f>IF(D56&gt;0,"North",IF(D56&lt;0,"South","Equator"))</x:f>
        <x:v>South</x:v>
      </x:c>
      <x:c r="H56" s="8" t="n">
        <x:f>DEGREES(ACOS(MAX(-1,MIN(1,SIN(RADIANS(D56))*SIN(RADIANS('Sources and method'!$B$5))+COS(RADIANS(D56))*COS(RADIANS('Sources and method'!$B$5))*COS(RADIANS(C56-'Sources and method'!$B$4))))))</x:f>
        <x:v>2.7151923822071944</x:v>
      </x:c>
      <x:c r="I56" s="1" t="str">
        <x:v>2026-08-29T11:54:18</x:v>
      </x:c>
      <x:c r="J56" s="9" t="str"/>
      <x:c r="K56" s="9" t="str">
        <x:v>all182_cleanliness_decisions.csv</x:v>
      </x:c>
      <x:c r="L56" s="9" t="str">
        <x:v>NGC1341.phot.1.fits</x:v>
      </x:c>
      <x:c r="M56" s="9" t="str">
        <x:v>Polluted</x:v>
      </x:c>
    </x:row>
    <x:row r="57" ht="15" hidden="0" customHeight="1">
      <x:c r="A57" s="1" t="str">
        <x:v>NGC1347</x:v>
      </x:c>
      <x:c r="B57" s="1" t="str">
        <x:v>Polluted</x:v>
      </x:c>
      <x:c r="C57" s="7" t="n">
        <x:v>52.424039214782574</x:v>
      </x:c>
      <x:c r="D57" s="7" t="n">
        <x:v>-22.279215415169997</x:v>
      </x:c>
      <x:c r="E57" s="1" t="str">
        <x:v>03:29:41.77</x:v>
      </x:c>
      <x:c r="F57" s="1" t="str">
        <x:v>-22:16:45.18</x:v>
      </x:c>
      <x:c r="G57" s="1" t="str">
        <x:f>IF(D57&gt;0,"North",IF(D57&lt;0,"South","Equator"))</x:f>
        <x:v>South</x:v>
      </x:c>
      <x:c r="H57" s="8" t="n">
        <x:f>DEGREES(ACOS(MAX(-1,MIN(1,SIN(RADIANS(D57))*SIN(RADIANS('Sources and method'!$B$5))+COS(RADIANS(D57))*COS(RADIANS('Sources and method'!$B$5))*COS(RADIANS(C57-'Sources and method'!$B$4))))))</x:f>
        <x:v>13.310152737308027</x:v>
      </x:c>
      <x:c r="I57" s="1" t="str">
        <x:v>2026-09-02T17:41:45</x:v>
      </x:c>
      <x:c r="J57" s="9" t="str"/>
      <x:c r="K57" s="9" t="str">
        <x:v>all182_cleanliness_decisions.csv</x:v>
      </x:c>
      <x:c r="L57" s="9" t="str">
        <x:v>NGC1347.phot.1.fits</x:v>
      </x:c>
      <x:c r="M57" s="9" t="str">
        <x:v>Polluted</x:v>
      </x:c>
    </x:row>
    <x:row r="58" ht="15" hidden="0" customHeight="1">
      <x:c r="A58" s="1" t="str">
        <x:v>NGC1350</x:v>
      </x:c>
      <x:c r="B58" s="1" t="str">
        <x:v>Polluted</x:v>
      </x:c>
      <x:c r="C58" s="7" t="n">
        <x:v>52.78355923797167</x:v>
      </x:c>
      <x:c r="D58" s="7" t="n">
        <x:v>-33.62834375909947</x:v>
      </x:c>
      <x:c r="E58" s="1" t="str">
        <x:v>03:31:08.05</x:v>
      </x:c>
      <x:c r="F58" s="1" t="str">
        <x:v>-33:37:42.04</x:v>
      </x:c>
      <x:c r="G58" s="1" t="str">
        <x:f>IF(D58&gt;0,"North",IF(D58&lt;0,"South","Equator"))</x:f>
        <x:v>South</x:v>
      </x:c>
      <x:c r="H58" s="8" t="n">
        <x:f>DEGREES(ACOS(MAX(-1,MIN(1,SIN(RADIANS(D58))*SIN(RADIANS('Sources and method'!$B$5))+COS(RADIANS(D58))*COS(RADIANS('Sources and method'!$B$5))*COS(RADIANS(C58-'Sources and method'!$B$4))))))</x:f>
        <x:v>2.3689506728593277</x:v>
      </x:c>
      <x:c r="I58" s="1" t="str">
        <x:v>2026-08-29T11:57:20</x:v>
      </x:c>
      <x:c r="J58" s="9" t="str"/>
      <x:c r="K58" s="9" t="str">
        <x:v>all182_cleanliness_decisions.csv</x:v>
      </x:c>
      <x:c r="L58" s="9" t="str">
        <x:v>NGC1350.phot.1.fits</x:v>
      </x:c>
      <x:c r="M58" s="9" t="str">
        <x:v>Polluted</x:v>
      </x:c>
    </x:row>
    <x:row r="59" ht="15" hidden="0" customHeight="1">
      <x:c r="A59" s="1" t="str">
        <x:v>NGC1367</x:v>
      </x:c>
      <x:c r="B59" s="1" t="str">
        <x:v>Clean</x:v>
      </x:c>
      <x:c r="C59" s="7" t="n">
        <x:v>53.75554858461491</x:v>
      </x:c>
      <x:c r="D59" s="7" t="n">
        <x:v>-24.933177054646396</x:v>
      </x:c>
      <x:c r="E59" s="1" t="str">
        <x:v>03:35:01.33</x:v>
      </x:c>
      <x:c r="F59" s="1" t="str">
        <x:v>-24:55:59.44</x:v>
      </x:c>
      <x:c r="G59" s="1" t="str">
        <x:f>IF(D59&gt;0,"North",IF(D59&lt;0,"South","Equator"))</x:f>
        <x:v>South</x:v>
      </x:c>
      <x:c r="H59" s="8" t="n">
        <x:f>DEGREES(ACOS(MAX(-1,MIN(1,SIN(RADIANS(D59))*SIN(RADIANS('Sources and method'!$B$5))+COS(RADIANS(D59))*COS(RADIANS('Sources and method'!$B$5))*COS(RADIANS(C59-'Sources and method'!$B$4))))))</x:f>
        <x:v>10.543993446653518</x:v>
      </x:c>
      <x:c r="I59" s="1" t="str">
        <x:v>2026-08-29T11:54:56</x:v>
      </x:c>
      <x:c r="J59" s="9" t="str"/>
      <x:c r="K59" s="9" t="str">
        <x:v>all182_cleanliness_decisions.csv</x:v>
      </x:c>
      <x:c r="L59" s="9" t="str">
        <x:v>NGC1367.phot.1.fits</x:v>
      </x:c>
      <x:c r="M59" s="9" t="str">
        <x:v>Clean</x:v>
      </x:c>
    </x:row>
    <x:row r="60" ht="15" hidden="0" customHeight="1">
      <x:c r="A60" s="1" t="str">
        <x:v>NGC1436</x:v>
      </x:c>
      <x:c r="B60" s="1" t="str">
        <x:v>Ambiguous</x:v>
      </x:c>
      <x:c r="C60" s="7" t="n">
        <x:v>55.90450705096245</x:v>
      </x:c>
      <x:c r="D60" s="7" t="n">
        <x:v>-35.85303996118081</x:v>
      </x:c>
      <x:c r="E60" s="1" t="str">
        <x:v>03:43:37.08</x:v>
      </x:c>
      <x:c r="F60" s="1" t="str">
        <x:v>-35:51:10.94</x:v>
      </x:c>
      <x:c r="G60" s="1" t="str">
        <x:f>IF(D60&gt;0,"North",IF(D60&lt;0,"South","Equator"))</x:f>
        <x:v>South</x:v>
      </x:c>
      <x:c r="H60" s="8" t="n">
        <x:f>DEGREES(ACOS(MAX(-1,MIN(1,SIN(RADIANS(D60))*SIN(RADIANS('Sources and method'!$B$5))+COS(RADIANS(D60))*COS(RADIANS('Sources and method'!$B$5))*COS(RADIANS(C60-'Sources and method'!$B$4))))))</x:f>
        <x:v>1.1176960707710548</x:v>
      </x:c>
      <x:c r="I60" s="1" t="str">
        <x:v>2026-09-02T17:41:48</x:v>
      </x:c>
      <x:c r="J60" s="9" t="str"/>
      <x:c r="K60" s="9" t="str">
        <x:v>all182_cleanliness_decisions.csv</x:v>
      </x:c>
      <x:c r="L60" s="9" t="str">
        <x:v>NGC1436.phot.1.fits</x:v>
      </x:c>
      <x:c r="M60" s="9" t="str">
        <x:v>Ambiguous</x:v>
      </x:c>
    </x:row>
    <x:row r="61" ht="15" hidden="0" customHeight="1">
      <x:c r="A61" s="1" t="str">
        <x:v>NGC1493</x:v>
      </x:c>
      <x:c r="B61" s="1" t="str">
        <x:v>Polluted</x:v>
      </x:c>
      <x:c r="C61" s="7" t="n">
        <x:v>59.36425195467529</x:v>
      </x:c>
      <x:c r="D61" s="7" t="n">
        <x:v>-46.21069348436135</x:v>
      </x:c>
      <x:c r="E61" s="1" t="str">
        <x:v>03:57:27.42</x:v>
      </x:c>
      <x:c r="F61" s="1" t="str">
        <x:v>-46:12:38.50</x:v>
      </x:c>
      <x:c r="G61" s="1" t="str">
        <x:f>IF(D61&gt;0,"North",IF(D61&lt;0,"South","Equator"))</x:f>
        <x:v>South</x:v>
      </x:c>
      <x:c r="H61" s="8" t="n">
        <x:f>DEGREES(ACOS(MAX(-1,MIN(1,SIN(RADIANS(D61))*SIN(RADIANS('Sources and method'!$B$5))+COS(RADIANS(D61))*COS(RADIANS('Sources and method'!$B$5))*COS(RADIANS(C61-'Sources and method'!$B$4))))))</x:f>
        <x:v>11.337113074755383</x:v>
      </x:c>
      <x:c r="I61" s="1" t="str">
        <x:v>2026-08-27T19:43:16</x:v>
      </x:c>
      <x:c r="J61" s="9" t="str"/>
      <x:c r="K61" s="9" t="str">
        <x:v>blind_remaining_decisions.csv</x:v>
      </x:c>
      <x:c r="L61" s="9" t="str">
        <x:v>NGC1493.phot.1.fits</x:v>
      </x:c>
      <x:c r="M61" s="9" t="str">
        <x:v>Unreviewed</x:v>
      </x:c>
    </x:row>
    <x:row r="62" ht="15" hidden="0" customHeight="1">
      <x:c r="A62" s="1" t="str">
        <x:v>NGC1512</x:v>
      </x:c>
      <x:c r="B62" s="1" t="str">
        <x:v>Polluted</x:v>
      </x:c>
      <x:c r="C62" s="7" t="n">
        <x:v>60.97557444636682</x:v>
      </x:c>
      <x:c r="D62" s="7" t="n">
        <x:v>-43.34872416281495</x:v>
      </x:c>
      <x:c r="E62" s="1" t="str">
        <x:v>04:03:54.14</x:v>
      </x:c>
      <x:c r="F62" s="1" t="str">
        <x:v>-43:20:55.41</x:v>
      </x:c>
      <x:c r="G62" s="1" t="str">
        <x:f>IF(D62&gt;0,"North",IF(D62&lt;0,"South","Equator"))</x:f>
        <x:v>South</x:v>
      </x:c>
      <x:c r="H62" s="8" t="n">
        <x:f>DEGREES(ACOS(MAX(-1,MIN(1,SIN(RADIANS(D62))*SIN(RADIANS('Sources and method'!$B$5))+COS(RADIANS(D62))*COS(RADIANS('Sources and method'!$B$5))*COS(RADIANS(C62-'Sources and method'!$B$4))))))</x:f>
        <x:v>9.293188686039086</x:v>
      </x:c>
      <x:c r="I62" s="1" t="str">
        <x:v>2026-08-27T19:40:59</x:v>
      </x:c>
      <x:c r="J62" s="9" t="str"/>
      <x:c r="K62" s="9" t="str">
        <x:v>blind_remaining_decisions.csv</x:v>
      </x:c>
      <x:c r="L62" s="9" t="str">
        <x:v>NGC1512.phot.1.fits</x:v>
      </x:c>
      <x:c r="M62" s="9" t="str">
        <x:v>Unreviewed</x:v>
      </x:c>
    </x:row>
    <x:row r="63" ht="15" hidden="0" customHeight="1">
      <x:c r="A63" s="1" t="str">
        <x:v>NGC1559</x:v>
      </x:c>
      <x:c r="B63" s="1" t="str">
        <x:v>Unreviewed</x:v>
      </x:c>
      <x:c r="C63" s="7" t="n">
        <x:v>64.4023808255951</x:v>
      </x:c>
      <x:c r="D63" s="7" t="n">
        <x:v>-62.783411146895475</x:v>
      </x:c>
      <x:c r="E63" s="1" t="str">
        <x:v>04:17:36.57</x:v>
      </x:c>
      <x:c r="F63" s="1" t="str">
        <x:v>-62:47:00.28</x:v>
      </x:c>
      <x:c r="G63" s="1" t="str">
        <x:f>IF(D63&gt;0,"North",IF(D63&lt;0,"South","Equator"))</x:f>
        <x:v>South</x:v>
      </x:c>
      <x:c r="H63" s="8" t="n">
        <x:f>DEGREES(ACOS(MAX(-1,MIN(1,SIN(RADIANS(D63))*SIN(RADIANS('Sources and method'!$B$5))+COS(RADIANS(D63))*COS(RADIANS('Sources and method'!$B$5))*COS(RADIANS(C63-'Sources and method'!$B$4))))))</x:f>
        <x:v>28.000950811626794</x:v>
      </x:c>
      <x:c r="I63" s="1" t="str"/>
      <x:c r="J63" s="9" t="str"/>
      <x:c r="K63" s="9" t="str">
        <x:v>No recorded categorical review</x:v>
      </x:c>
      <x:c r="L63" s="9" t="str">
        <x:v>NGC1559.phot.1.fits</x:v>
      </x:c>
      <x:c r="M63" s="9" t="str">
        <x:v>Unreviewed</x:v>
      </x:c>
    </x:row>
    <x:row r="64" ht="15" hidden="0" customHeight="1">
      <x:c r="A64" s="1" t="str">
        <x:v>NGC1640</x:v>
      </x:c>
      <x:c r="B64" s="1" t="str">
        <x:v>Polluted</x:v>
      </x:c>
      <x:c r="C64" s="7" t="n">
        <x:v>70.5604065837</x:v>
      </x:c>
      <x:c r="D64" s="7" t="n">
        <x:v>-20.43481124751491</x:v>
      </x:c>
      <x:c r="E64" s="1" t="str">
        <x:v>04:42:14.50</x:v>
      </x:c>
      <x:c r="F64" s="1" t="str">
        <x:v>-20:26:05.32</x:v>
      </x:c>
      <x:c r="G64" s="1" t="str">
        <x:f>IF(D64&gt;0,"North",IF(D64&lt;0,"South","Equator"))</x:f>
        <x:v>South</x:v>
      </x:c>
      <x:c r="H64" s="8" t="n">
        <x:f>DEGREES(ACOS(MAX(-1,MIN(1,SIN(RADIANS(D64))*SIN(RADIANS('Sources and method'!$B$5))+COS(RADIANS(D64))*COS(RADIANS('Sources and method'!$B$5))*COS(RADIANS(C64-'Sources and method'!$B$4))))))</x:f>
        <x:v>20.527225299765306</x:v>
      </x:c>
      <x:c r="I64" s="1" t="str">
        <x:v>2026-08-27T19:43:29</x:v>
      </x:c>
      <x:c r="J64" s="9" t="str"/>
      <x:c r="K64" s="9" t="str">
        <x:v>blind_remaining_decisions.csv</x:v>
      </x:c>
      <x:c r="L64" s="9" t="str">
        <x:v>NGC1640.phot.1.fits</x:v>
      </x:c>
      <x:c r="M64" s="9" t="str">
        <x:v>Unreviewed</x:v>
      </x:c>
    </x:row>
    <x:row r="65" ht="15" hidden="0" customHeight="1">
      <x:c r="A65" s="1" t="str">
        <x:v>NGC1672</x:v>
      </x:c>
      <x:c r="B65" s="1" t="str">
        <x:v>Polluted</x:v>
      </x:c>
      <x:c r="C65" s="7" t="n">
        <x:v>71.42703998443118</x:v>
      </x:c>
      <x:c r="D65" s="7" t="n">
        <x:v>-59.24725874786851</x:v>
      </x:c>
      <x:c r="E65" s="1" t="str">
        <x:v>04:45:42.49</x:v>
      </x:c>
      <x:c r="F65" s="1" t="str">
        <x:v>-59:14:50.13</x:v>
      </x:c>
      <x:c r="G65" s="1" t="str">
        <x:f>IF(D65&gt;0,"North",IF(D65&lt;0,"South","Equator"))</x:f>
        <x:v>South</x:v>
      </x:c>
      <x:c r="H65" s="8" t="n">
        <x:f>DEGREES(ACOS(MAX(-1,MIN(1,SIN(RADIANS(D65))*SIN(RADIANS('Sources and method'!$B$5))+COS(RADIANS(D65))*COS(RADIANS('Sources and method'!$B$5))*COS(RADIANS(C65-'Sources and method'!$B$4))))))</x:f>
        <x:v>26.208386843667768</x:v>
      </x:c>
      <x:c r="I65" s="1" t="str">
        <x:v>2026-08-27T19:39:45</x:v>
      </x:c>
      <x:c r="J65" s="9" t="str"/>
      <x:c r="K65" s="9" t="str">
        <x:v>blind_remaining_decisions.csv</x:v>
      </x:c>
      <x:c r="L65" s="9" t="str">
        <x:v>NGC1672.phot.1.fits</x:v>
      </x:c>
      <x:c r="M65" s="9" t="str">
        <x:v>Unreviewed</x:v>
      </x:c>
    </x:row>
    <x:row r="66" ht="15" hidden="0" customHeight="1">
      <x:c r="A66" s="1" t="str">
        <x:v>NGC1800</x:v>
      </x:c>
      <x:c r="B66" s="1" t="str">
        <x:v>Polluted</x:v>
      </x:c>
      <x:c r="C66" s="7" t="n">
        <x:v>76.60647832841605</x:v>
      </x:c>
      <x:c r="D66" s="7" t="n">
        <x:v>-31.953887477350786</x:v>
      </x:c>
      <x:c r="E66" s="1" t="str">
        <x:v>05:06:25.55</x:v>
      </x:c>
      <x:c r="F66" s="1" t="str">
        <x:v>-31:57:13.99</x:v>
      </x:c>
      <x:c r="G66" s="1" t="str">
        <x:f>IF(D66&gt;0,"North",IF(D66&lt;0,"South","Equator"))</x:f>
        <x:v>South</x:v>
      </x:c>
      <x:c r="H66" s="8" t="n">
        <x:f>DEGREES(ACOS(MAX(-1,MIN(1,SIN(RADIANS(D66))*SIN(RADIANS('Sources and method'!$B$5))+COS(RADIANS(D66))*COS(RADIANS('Sources and method'!$B$5))*COS(RADIANS(C66-'Sources and method'!$B$4))))))</x:f>
        <x:v>18.580746553942834</x:v>
      </x:c>
      <x:c r="I66" s="1" t="str">
        <x:v>2026-08-29T11:54:17</x:v>
      </x:c>
      <x:c r="J66" s="9" t="str"/>
      <x:c r="K66" s="9" t="str">
        <x:v>all182_cleanliness_decisions.csv</x:v>
      </x:c>
      <x:c r="L66" s="9" t="str">
        <x:v>NGC1800.phot.1.fits</x:v>
      </x:c>
      <x:c r="M66" s="9" t="str">
        <x:v>Polluted</x:v>
      </x:c>
    </x:row>
    <x:row r="67" ht="15" hidden="0" customHeight="1">
      <x:c r="A67" s="1" t="str">
        <x:v>NGC1808</x:v>
      </x:c>
      <x:c r="B67" s="1" t="str">
        <x:v>Unreviewed</x:v>
      </x:c>
      <x:c r="C67" s="7" t="n">
        <x:v>76.92642869533076</x:v>
      </x:c>
      <x:c r="D67" s="7" t="n">
        <x:v>-37.51293916585466</x:v>
      </x:c>
      <x:c r="E67" s="1" t="str">
        <x:v>05:07:42.34</x:v>
      </x:c>
      <x:c r="F67" s="1" t="str">
        <x:v>-37:30:46.58</x:v>
      </x:c>
      <x:c r="G67" s="1" t="str">
        <x:f>IF(D67&gt;0,"North",IF(D67&lt;0,"South","Equator"))</x:f>
        <x:v>South</x:v>
      </x:c>
      <x:c r="H67" s="8" t="n">
        <x:f>DEGREES(ACOS(MAX(-1,MIN(1,SIN(RADIANS(D67))*SIN(RADIANS('Sources and method'!$B$5))+COS(RADIANS(D67))*COS(RADIANS('Sources and method'!$B$5))*COS(RADIANS(C67-'Sources and method'!$B$4))))))</x:f>
        <x:v>18.00991696652843</x:v>
      </x:c>
      <x:c r="I67" s="1" t="str"/>
      <x:c r="J67" s="9" t="str"/>
      <x:c r="K67" s="9" t="str">
        <x:v>No recorded categorical review</x:v>
      </x:c>
      <x:c r="L67" s="9" t="str">
        <x:v>NGC1808.phot.1.fits</x:v>
      </x:c>
      <x:c r="M67" s="9" t="str">
        <x:v>Unreviewed</x:v>
      </x:c>
    </x:row>
    <x:row r="68" ht="15" hidden="0" customHeight="1">
      <x:c r="A68" s="1" t="str">
        <x:v>NGC1879</x:v>
      </x:c>
      <x:c r="B68" s="1" t="str">
        <x:v>Polluted</x:v>
      </x:c>
      <x:c r="C68" s="7" t="n">
        <x:v>79.9505748855702</x:v>
      </x:c>
      <x:c r="D68" s="7" t="n">
        <x:v>-32.142916256905814</x:v>
      </x:c>
      <x:c r="E68" s="1" t="str">
        <x:v>05:19:48.14</x:v>
      </x:c>
      <x:c r="F68" s="1" t="str">
        <x:v>-32:08:34.50</x:v>
      </x:c>
      <x:c r="G68" s="1" t="str">
        <x:f>IF(D68&gt;0,"North",IF(D68&lt;0,"South","Equator"))</x:f>
        <x:v>South</x:v>
      </x:c>
      <x:c r="H68" s="8" t="n">
        <x:f>DEGREES(ACOS(MAX(-1,MIN(1,SIN(RADIANS(D68))*SIN(RADIANS('Sources and method'!$B$5))+COS(RADIANS(D68))*COS(RADIANS('Sources and method'!$B$5))*COS(RADIANS(C68-'Sources and method'!$B$4))))))</x:f>
        <x:v>21.24756851101063</x:v>
      </x:c>
      <x:c r="I68" s="1" t="str">
        <x:v>2026-08-27T19:40:44</x:v>
      </x:c>
      <x:c r="J68" s="9" t="str"/>
      <x:c r="K68" s="9" t="str">
        <x:v>blind_remaining_decisions.csv</x:v>
      </x:c>
      <x:c r="L68" s="9" t="str">
        <x:v>NGC1879.phot.1.fits</x:v>
      </x:c>
      <x:c r="M68" s="9" t="str">
        <x:v>Unreviewed</x:v>
      </x:c>
    </x:row>
    <x:row r="69" ht="15" hidden="0" customHeight="1">
      <x:c r="A69" s="1" t="str">
        <x:v>NGC2500</x:v>
      </x:c>
      <x:c r="B69" s="1" t="str">
        <x:v>Polluted</x:v>
      </x:c>
      <x:c r="C69" s="7" t="n">
        <x:v>120.47160387530556</x:v>
      </x:c>
      <x:c r="D69" s="7" t="n">
        <x:v>50.7371170858571</x:v>
      </x:c>
      <x:c r="E69" s="1" t="str">
        <x:v>08:01:53.18</x:v>
      </x:c>
      <x:c r="F69" s="1" t="str">
        <x:v>+50:44:13.62</x:v>
      </x:c>
      <x:c r="G69" s="1" t="str">
        <x:f>IF(D69&gt;0,"North",IF(D69&lt;0,"South","Equator"))</x:f>
        <x:v>North</x:v>
      </x:c>
      <x:c r="H69" s="8" t="n">
        <x:f>DEGREES(ACOS(MAX(-1,MIN(1,SIN(RADIANS(D69))*SIN(RADIANS('Sources and method'!$B$5))+COS(RADIANS(D69))*COS(RADIANS('Sources and method'!$B$5))*COS(RADIANS(C69-'Sources and method'!$B$4))))))</x:f>
        <x:v>103.7770467438457</x:v>
      </x:c>
      <x:c r="I69" s="1" t="str">
        <x:v>2026-08-29T11:55:04</x:v>
      </x:c>
      <x:c r="J69" s="9" t="str"/>
      <x:c r="K69" s="9" t="str">
        <x:v>all182_cleanliness_decisions.csv</x:v>
      </x:c>
      <x:c r="L69" s="9" t="str">
        <x:v>NGC2500.phot.1.fits</x:v>
      </x:c>
      <x:c r="M69" s="9" t="str">
        <x:v>Polluted</x:v>
      </x:c>
    </x:row>
    <x:row r="70" ht="15" hidden="0" customHeight="1">
      <x:c r="A70" s="1" t="str">
        <x:v>NGC2681</x:v>
      </x:c>
      <x:c r="B70" s="1" t="str">
        <x:v>Polluted</x:v>
      </x:c>
      <x:c r="C70" s="7" t="n">
        <x:v>133.3863933200809</x:v>
      </x:c>
      <x:c r="D70" s="7" t="n">
        <x:v>51.31358961833212</x:v>
      </x:c>
      <x:c r="E70" s="1" t="str">
        <x:v>08:53:32.73</x:v>
      </x:c>
      <x:c r="F70" s="1" t="str">
        <x:v>+51:18:48.92</x:v>
      </x:c>
      <x:c r="G70" s="1" t="str">
        <x:f>IF(D70&gt;0,"North",IF(D70&lt;0,"South","Equator"))</x:f>
        <x:v>North</x:v>
      </x:c>
      <x:c r="H70" s="8" t="n">
        <x:f>DEGREES(ACOS(MAX(-1,MIN(1,SIN(RADIANS(D70))*SIN(RADIANS('Sources and method'!$B$5))+COS(RADIANS(D70))*COS(RADIANS('Sources and method'!$B$5))*COS(RADIANS(C70-'Sources and method'!$B$4))))))</x:f>
        <x:v>110.70363499223603</x:v>
      </x:c>
      <x:c r="I70" s="1" t="str">
        <x:v>2026-08-29T11:56:15</x:v>
      </x:c>
      <x:c r="J70" s="9" t="str"/>
      <x:c r="K70" s="9" t="str">
        <x:v>all182_cleanliness_decisions.csv</x:v>
      </x:c>
      <x:c r="L70" s="9" t="str">
        <x:v>NGC2681.phot.1.fits</x:v>
      </x:c>
      <x:c r="M70" s="9" t="str">
        <x:v>Polluted</x:v>
      </x:c>
    </x:row>
    <x:row r="71" ht="15" hidden="0" customHeight="1">
      <x:c r="A71" s="1" t="str">
        <x:v>NGC2903</x:v>
      </x:c>
      <x:c r="B71" s="1" t="str">
        <x:v>Clean</x:v>
      </x:c>
      <x:c r="C71" s="7" t="n">
        <x:v>143.0421160846492</x:v>
      </x:c>
      <x:c r="D71" s="7" t="n">
        <x:v>21.500841328755715</x:v>
      </x:c>
      <x:c r="E71" s="1" t="str">
        <x:v>09:32:10.11</x:v>
      </x:c>
      <x:c r="F71" s="1" t="str">
        <x:v>+21:30:03.03</x:v>
      </x:c>
      <x:c r="G71" s="1" t="str">
        <x:f>IF(D71&gt;0,"North",IF(D71&lt;0,"South","Equator"))</x:f>
        <x:v>North</x:v>
      </x:c>
      <x:c r="H71" s="8" t="n">
        <x:f>DEGREES(ACOS(MAX(-1,MIN(1,SIN(RADIANS(D71))*SIN(RADIANS('Sources and method'!$B$5))+COS(RADIANS(D71))*COS(RADIANS('Sources and method'!$B$5))*COS(RADIANS(C71-'Sources and method'!$B$4))))))</x:f>
        <x:v>101.05165809034071</x:v>
      </x:c>
      <x:c r="I71" s="1" t="str">
        <x:v>2026-08-29T11:57:02</x:v>
      </x:c>
      <x:c r="J71" s="9" t="str"/>
      <x:c r="K71" s="9" t="str">
        <x:v>all182_cleanliness_decisions.csv</x:v>
      </x:c>
      <x:c r="L71" s="9" t="str">
        <x:v>NGC2903.phot.1.fits</x:v>
      </x:c>
      <x:c r="M71" s="9" t="str">
        <x:v>Clean</x:v>
      </x:c>
    </x:row>
    <x:row r="72" ht="15" hidden="0" customHeight="1">
      <x:c r="A72" s="1" t="str">
        <x:v>NGC2968</x:v>
      </x:c>
      <x:c r="B72" s="1" t="str">
        <x:v>Polluted</x:v>
      </x:c>
      <x:c r="C72" s="7" t="n">
        <x:v>145.8000638254584</x:v>
      </x:c>
      <x:c r="D72" s="7" t="n">
        <x:v>31.928738328830075</x:v>
      </x:c>
      <x:c r="E72" s="1" t="str">
        <x:v>09:43:12.02</x:v>
      </x:c>
      <x:c r="F72" s="1" t="str">
        <x:v>+31:55:43.46</x:v>
      </x:c>
      <x:c r="G72" s="1" t="str">
        <x:f>IF(D72&gt;0,"North",IF(D72&lt;0,"South","Equator"))</x:f>
        <x:v>North</x:v>
      </x:c>
      <x:c r="H72" s="8" t="n">
        <x:f>DEGREES(ACOS(MAX(-1,MIN(1,SIN(RADIANS(D72))*SIN(RADIANS('Sources and method'!$B$5))+COS(RADIANS(D72))*COS(RADIANS('Sources and method'!$B$5))*COS(RADIANS(C72-'Sources and method'!$B$4))))))</x:f>
        <x:v>108.72140692367752</x:v>
      </x:c>
      <x:c r="I72" s="1" t="str">
        <x:v>2026-08-27T19:41:21</x:v>
      </x:c>
      <x:c r="J72" s="9" t="str"/>
      <x:c r="K72" s="9" t="str">
        <x:v>blind_remaining_decisions.csv</x:v>
      </x:c>
      <x:c r="L72" s="9" t="str">
        <x:v>NGC2968.phot.1.fits</x:v>
      </x:c>
      <x:c r="M72" s="9" t="str">
        <x:v>Unreviewed</x:v>
      </x:c>
    </x:row>
    <x:row r="73" ht="15" hidden="0" customHeight="1">
      <x:c r="A73" s="1" t="str">
        <x:v>NGC3185</x:v>
      </x:c>
      <x:c r="B73" s="1" t="str">
        <x:v>Polluted</x:v>
      </x:c>
      <x:c r="C73" s="7" t="n">
        <x:v>154.41075</x:v>
      </x:c>
      <x:c r="D73" s="7" t="n">
        <x:v>21.6883</x:v>
      </x:c>
      <x:c r="E73" s="1" t="str">
        <x:v>10:17:38.58</x:v>
      </x:c>
      <x:c r="F73" s="1" t="str">
        <x:v>+21:41:17.88</x:v>
      </x:c>
      <x:c r="G73" s="1" t="str">
        <x:f>IF(D73&gt;0,"North",IF(D73&lt;0,"South","Equator"))</x:f>
        <x:v>North</x:v>
      </x:c>
      <x:c r="H73" s="8" t="n">
        <x:f>DEGREES(ACOS(MAX(-1,MIN(1,SIN(RADIANS(D73))*SIN(RADIANS('Sources and method'!$B$5))+COS(RADIANS(D73))*COS(RADIANS('Sources and method'!$B$5))*COS(RADIANS(C73-'Sources and method'!$B$4))))))</x:f>
        <x:v>110.06267145042477</x:v>
      </x:c>
      <x:c r="I73" s="1" t="str">
        <x:v>2026-08-27T19:39:55</x:v>
      </x:c>
      <x:c r="J73" s="9" t="str"/>
      <x:c r="K73" s="9" t="str">
        <x:v>blind_remaining_decisions.csv</x:v>
      </x:c>
      <x:c r="L73" s="9" t="str">
        <x:v>NGC3185.phot.1.fits</x:v>
      </x:c>
      <x:c r="M73" s="9" t="str">
        <x:v>Unreviewed</x:v>
      </x:c>
    </x:row>
    <x:row r="74" ht="15" hidden="0" customHeight="1">
      <x:c r="A74" s="1" t="str">
        <x:v>NGC3227</x:v>
      </x:c>
      <x:c r="B74" s="1" t="str">
        <x:v>Clean</x:v>
      </x:c>
      <x:c r="C74" s="7" t="n">
        <x:v>155.87741456245303</x:v>
      </x:c>
      <x:c r="D74" s="7" t="n">
        <x:v>19.86513583730914</x:v>
      </x:c>
      <x:c r="E74" s="1" t="str">
        <x:v>10:23:30.58</x:v>
      </x:c>
      <x:c r="F74" s="1" t="str">
        <x:v>+19:51:54.49</x:v>
      </x:c>
      <x:c r="G74" s="1" t="str">
        <x:f>IF(D74&gt;0,"North",IF(D74&lt;0,"South","Equator"))</x:f>
        <x:v>North</x:v>
      </x:c>
      <x:c r="H74" s="8" t="n">
        <x:f>DEGREES(ACOS(MAX(-1,MIN(1,SIN(RADIANS(D74))*SIN(RADIANS('Sources and method'!$B$5))+COS(RADIANS(D74))*COS(RADIANS('Sources and method'!$B$5))*COS(RADIANS(C74-'Sources and method'!$B$4))))))</x:f>
        <x:v>110.28179659359913</x:v>
      </x:c>
      <x:c r="I74" s="1" t="str">
        <x:v>2026-08-29T11:55:57</x:v>
      </x:c>
      <x:c r="J74" s="9" t="str"/>
      <x:c r="K74" s="9" t="str">
        <x:v>all182_cleanliness_decisions.csv</x:v>
      </x:c>
      <x:c r="L74" s="9" t="str">
        <x:v>NGC3227.phot.1.fits</x:v>
      </x:c>
      <x:c r="M74" s="9" t="str">
        <x:v>Clean</x:v>
      </x:c>
    </x:row>
    <x:row r="75" ht="15" hidden="0" customHeight="1">
      <x:c r="A75" s="1" t="str">
        <x:v>NGC3264</x:v>
      </x:c>
      <x:c r="B75" s="1" t="str">
        <x:v>Polluted</x:v>
      </x:c>
      <x:c r="C75" s="7" t="n">
        <x:v>158.08155892166644</x:v>
      </x:c>
      <x:c r="D75" s="7" t="n">
        <x:v>56.08416208021312</x:v>
      </x:c>
      <x:c r="E75" s="1" t="str">
        <x:v>10:32:19.57</x:v>
      </x:c>
      <x:c r="F75" s="1" t="str">
        <x:v>+56:05:02.98</x:v>
      </x:c>
      <x:c r="G75" s="1" t="str">
        <x:f>IF(D75&gt;0,"North",IF(D75&lt;0,"South","Equator"))</x:f>
        <x:v>North</x:v>
      </x:c>
      <x:c r="H75" s="8" t="n">
        <x:f>DEGREES(ACOS(MAX(-1,MIN(1,SIN(RADIANS(D75))*SIN(RADIANS('Sources and method'!$B$5))+COS(RADIANS(D75))*COS(RADIANS('Sources and method'!$B$5))*COS(RADIANS(C75-'Sources and method'!$B$4))))))</x:f>
        <x:v>125.95313086715055</x:v>
      </x:c>
      <x:c r="I75" s="1" t="str">
        <x:v>2026-08-27T19:39:36</x:v>
      </x:c>
      <x:c r="J75" s="9" t="str"/>
      <x:c r="K75" s="9" t="str">
        <x:v>blind_remaining_decisions.csv</x:v>
      </x:c>
      <x:c r="L75" s="9" t="str">
        <x:v>NGC3264.phot.1.fits</x:v>
      </x:c>
      <x:c r="M75" s="9" t="str">
        <x:v>Unreviewed</x:v>
      </x:c>
    </x:row>
    <x:row r="76" ht="15" hidden="0" customHeight="1">
      <x:c r="A76" s="1" t="str">
        <x:v>NGC3287</x:v>
      </x:c>
      <x:c r="B76" s="1" t="str">
        <x:v>Ambiguous</x:v>
      </x:c>
      <x:c r="C76" s="7" t="n">
        <x:v>158.69709862166962</x:v>
      </x:c>
      <x:c r="D76" s="7" t="n">
        <x:v>21.6481079252242</x:v>
      </x:c>
      <x:c r="E76" s="1" t="str">
        <x:v>10:34:47.30</x:v>
      </x:c>
      <x:c r="F76" s="1" t="str">
        <x:v>+21:38:53.19</x:v>
      </x:c>
      <x:c r="G76" s="1" t="str">
        <x:f>IF(D76&gt;0,"North",IF(D76&lt;0,"South","Equator"))</x:f>
        <x:v>North</x:v>
      </x:c>
      <x:c r="H76" s="8" t="n">
        <x:f>DEGREES(ACOS(MAX(-1,MIN(1,SIN(RADIANS(D76))*SIN(RADIANS('Sources and method'!$B$5))+COS(RADIANS(D76))*COS(RADIANS('Sources and method'!$B$5))*COS(RADIANS(C76-'Sources and method'!$B$4))))))</x:f>
        <x:v>113.46021839198184</x:v>
      </x:c>
      <x:c r="I76" s="1" t="str">
        <x:v>2026-08-29T11:55:40</x:v>
      </x:c>
      <x:c r="J76" s="9" t="str"/>
      <x:c r="K76" s="9" t="str">
        <x:v>all182_cleanliness_decisions.csv</x:v>
      </x:c>
      <x:c r="L76" s="9" t="str">
        <x:v>NGC3287.phot.1.fits</x:v>
      </x:c>
      <x:c r="M76" s="9" t="str">
        <x:v>Ambiguous</x:v>
      </x:c>
    </x:row>
    <x:row r="77" ht="15" hidden="0" customHeight="1">
      <x:c r="A77" s="1" t="str">
        <x:v>NGC3319</x:v>
      </x:c>
      <x:c r="B77" s="1" t="str">
        <x:v>Polluted</x:v>
      </x:c>
      <x:c r="C77" s="7" t="n">
        <x:v>159.78930429757065</x:v>
      </x:c>
      <x:c r="D77" s="7" t="n">
        <x:v>41.68681333346362</x:v>
      </x:c>
      <x:c r="E77" s="1" t="str">
        <x:v>10:39:09.43</x:v>
      </x:c>
      <x:c r="F77" s="1" t="str">
        <x:v>+41:41:12.53</x:v>
      </x:c>
      <x:c r="G77" s="1" t="str">
        <x:f>IF(D77&gt;0,"North",IF(D77&lt;0,"South","Equator"))</x:f>
        <x:v>North</x:v>
      </x:c>
      <x:c r="H77" s="8" t="n">
        <x:f>DEGREES(ACOS(MAX(-1,MIN(1,SIN(RADIANS(D77))*SIN(RADIANS('Sources and method'!$B$5))+COS(RADIANS(D77))*COS(RADIANS('Sources and method'!$B$5))*COS(RADIANS(C77-'Sources and method'!$B$4))))))</x:f>
        <x:v>123.01859418022354</x:v>
      </x:c>
      <x:c r="I77" s="1" t="str">
        <x:v>2026-08-27T19:40:39</x:v>
      </x:c>
      <x:c r="J77" s="9" t="str"/>
      <x:c r="K77" s="9" t="str">
        <x:v>blind_remaining_decisions.csv</x:v>
      </x:c>
      <x:c r="L77" s="9" t="str">
        <x:v>NGC3319.phot.1.fits</x:v>
      </x:c>
      <x:c r="M77" s="9" t="str">
        <x:v>Unreviewed</x:v>
      </x:c>
    </x:row>
    <x:row r="78" ht="15" hidden="0" customHeight="1">
      <x:c r="A78" s="1" t="str">
        <x:v>NGC3344</x:v>
      </x:c>
      <x:c r="B78" s="1" t="str">
        <x:v>Unreviewed</x:v>
      </x:c>
      <x:c r="C78" s="7" t="n">
        <x:v>160.87971500080158</x:v>
      </x:c>
      <x:c r="D78" s="7" t="n">
        <x:v>24.922404592600532</x:v>
      </x:c>
      <x:c r="E78" s="1" t="str">
        <x:v>10:43:31.13</x:v>
      </x:c>
      <x:c r="F78" s="1" t="str">
        <x:v>+24:55:20.66</x:v>
      </x:c>
      <x:c r="G78" s="1" t="str">
        <x:f>IF(D78&gt;0,"North",IF(D78&lt;0,"South","Equator"))</x:f>
        <x:v>North</x:v>
      </x:c>
      <x:c r="H78" s="8" t="n">
        <x:f>DEGREES(ACOS(MAX(-1,MIN(1,SIN(RADIANS(D78))*SIN(RADIANS('Sources and method'!$B$5))+COS(RADIANS(D78))*COS(RADIANS('Sources and method'!$B$5))*COS(RADIANS(C78-'Sources and method'!$B$4))))))</x:f>
        <x:v>116.82320242267417</x:v>
      </x:c>
      <x:c r="I78" s="1" t="str"/>
      <x:c r="J78" s="9" t="str"/>
      <x:c r="K78" s="9" t="str">
        <x:v>No recorded categorical review</x:v>
      </x:c>
      <x:c r="L78" s="9" t="str">
        <x:v>NGC3344.phot.1.fits</x:v>
      </x:c>
      <x:c r="M78" s="9" t="str">
        <x:v>Unreviewed</x:v>
      </x:c>
    </x:row>
    <x:row r="79" ht="15" hidden="0" customHeight="1">
      <x:c r="A79" s="1" t="str">
        <x:v>NGC3359</x:v>
      </x:c>
      <x:c r="B79" s="1" t="str">
        <x:v>Clean</x:v>
      </x:c>
      <x:c r="C79" s="7" t="n">
        <x:v>161.65185885756932</x:v>
      </x:c>
      <x:c r="D79" s="7" t="n">
        <x:v>63.22159315535174</x:v>
      </x:c>
      <x:c r="E79" s="1" t="str">
        <x:v>10:46:36.45</x:v>
      </x:c>
      <x:c r="F79" s="1" t="str">
        <x:v>+63:13:17.74</x:v>
      </x:c>
      <x:c r="G79" s="1" t="str">
        <x:f>IF(D79&gt;0,"North",IF(D79&lt;0,"South","Equator"))</x:f>
        <x:v>North</x:v>
      </x:c>
      <x:c r="H79" s="8" t="n">
        <x:f>DEGREES(ACOS(MAX(-1,MIN(1,SIN(RADIANS(D79))*SIN(RADIANS('Sources and method'!$B$5))+COS(RADIANS(D79))*COS(RADIANS('Sources and method'!$B$5))*COS(RADIANS(C79-'Sources and method'!$B$4))))))</x:f>
        <x:v>128.70378546647473</x:v>
      </x:c>
      <x:c r="I79" s="1" t="str">
        <x:v>2026-08-29T11:56:48</x:v>
      </x:c>
      <x:c r="J79" s="9" t="str"/>
      <x:c r="K79" s="9" t="str">
        <x:v>all182_cleanliness_decisions.csv</x:v>
      </x:c>
      <x:c r="L79" s="9" t="str">
        <x:v>NGC3359.phot.1.fits</x:v>
      </x:c>
      <x:c r="M79" s="9" t="str">
        <x:v>Clean</x:v>
      </x:c>
    </x:row>
    <x:row r="80" ht="15" hidden="0" customHeight="1">
      <x:c r="A80" s="1" t="str">
        <x:v>NGC3380</x:v>
      </x:c>
      <x:c r="B80" s="1" t="str">
        <x:v>Polluted</x:v>
      </x:c>
      <x:c r="C80" s="7" t="n">
        <x:v>162.05075219764615</x:v>
      </x:c>
      <x:c r="D80" s="7" t="n">
        <x:v>28.601920003941053</x:v>
      </x:c>
      <x:c r="E80" s="1" t="str">
        <x:v>10:48:12.18</x:v>
      </x:c>
      <x:c r="F80" s="1" t="str">
        <x:v>+28:36:06.91</x:v>
      </x:c>
      <x:c r="G80" s="1" t="str">
        <x:f>IF(D80&gt;0,"North",IF(D80&lt;0,"South","Equator"))</x:f>
        <x:v>North</x:v>
      </x:c>
      <x:c r="H80" s="8" t="n">
        <x:f>DEGREES(ACOS(MAX(-1,MIN(1,SIN(RADIANS(D80))*SIN(RADIANS('Sources and method'!$B$5))+COS(RADIANS(D80))*COS(RADIANS('Sources and method'!$B$5))*COS(RADIANS(C80-'Sources and method'!$B$4))))))</x:f>
        <x:v>119.46470164060783</x:v>
      </x:c>
      <x:c r="I80" s="1" t="str">
        <x:v>2026-08-29T11:54:49</x:v>
      </x:c>
      <x:c r="J80" s="9" t="str"/>
      <x:c r="K80" s="9" t="str">
        <x:v>all182_cleanliness_decisions.csv</x:v>
      </x:c>
      <x:c r="L80" s="9" t="str">
        <x:v>NGC3380.phot.1.fits</x:v>
      </x:c>
      <x:c r="M80" s="9" t="str">
        <x:v>Polluted</x:v>
      </x:c>
    </x:row>
    <x:row r="81" ht="15" hidden="0" customHeight="1">
      <x:c r="A81" s="1" t="str">
        <x:v>NGC3447</x:v>
      </x:c>
      <x:c r="B81" s="1" t="str">
        <x:v>Unreviewed</x:v>
      </x:c>
      <x:c r="C81" s="7" t="n">
        <x:v>163.3500565762632</x:v>
      </x:c>
      <x:c r="D81" s="7" t="n">
        <x:v>16.772519168900356</x:v>
      </x:c>
      <x:c r="E81" s="1" t="str">
        <x:v>10:53:24.01</x:v>
      </x:c>
      <x:c r="F81" s="1" t="str">
        <x:v>+16:46:21.07</x:v>
      </x:c>
      <x:c r="G81" s="1" t="str">
        <x:f>IF(D81&gt;0,"North",IF(D81&lt;0,"South","Equator"))</x:f>
        <x:v>North</x:v>
      </x:c>
      <x:c r="H81" s="8" t="n">
        <x:f>DEGREES(ACOS(MAX(-1,MIN(1,SIN(RADIANS(D81))*SIN(RADIANS('Sources and method'!$B$5))+COS(RADIANS(D81))*COS(RADIANS('Sources and method'!$B$5))*COS(RADIANS(C81-'Sources and method'!$B$4))))))</x:f>
        <x:v>114.69641835556675</x:v>
      </x:c>
      <x:c r="I81" s="1" t="str"/>
      <x:c r="J81" s="9" t="str"/>
      <x:c r="K81" s="9" t="str">
        <x:v>No recorded categorical review</x:v>
      </x:c>
      <x:c r="L81" s="9" t="str">
        <x:v>NGC3447.phot.1.fits</x:v>
      </x:c>
      <x:c r="M81" s="9" t="str">
        <x:v>Unreviewed</x:v>
      </x:c>
    </x:row>
    <x:row r="82" ht="15" hidden="0" customHeight="1">
      <x:c r="A82" s="1" t="str">
        <x:v>NGC3485</x:v>
      </x:c>
      <x:c r="B82" s="1" t="str">
        <x:v>Polluted</x:v>
      </x:c>
      <x:c r="C82" s="7" t="n">
        <x:v>165.00989569131553</x:v>
      </x:c>
      <x:c r="D82" s="7" t="n">
        <x:v>14.84171333796521</x:v>
      </x:c>
      <x:c r="E82" s="1" t="str">
        <x:v>11:00:02.37</x:v>
      </x:c>
      <x:c r="F82" s="1" t="str">
        <x:v>+14:50:30.17</x:v>
      </x:c>
      <x:c r="G82" s="1" t="str">
        <x:f>IF(D82&gt;0,"North",IF(D82&lt;0,"South","Equator"))</x:f>
        <x:v>North</x:v>
      </x:c>
      <x:c r="H82" s="8" t="n">
        <x:f>DEGREES(ACOS(MAX(-1,MIN(1,SIN(RADIANS(D82))*SIN(RADIANS('Sources and method'!$B$5))+COS(RADIANS(D82))*COS(RADIANS('Sources and method'!$B$5))*COS(RADIANS(C82-'Sources and method'!$B$4))))))</x:f>
        <x:v>115.01784497960921</x:v>
      </x:c>
      <x:c r="I82" s="1" t="str">
        <x:v>2026-08-27T19:43:34</x:v>
      </x:c>
      <x:c r="J82" s="9" t="str"/>
      <x:c r="K82" s="9" t="str">
        <x:v>blind_remaining_decisions.csv</x:v>
      </x:c>
      <x:c r="L82" s="9" t="str">
        <x:v>NGC3485.phot.1.fits</x:v>
      </x:c>
      <x:c r="M82" s="9" t="str">
        <x:v>Unreviewed</x:v>
      </x:c>
    </x:row>
    <x:row r="83" ht="15" hidden="0" customHeight="1">
      <x:c r="A83" s="1" t="str">
        <x:v>NGC3486</x:v>
      </x:c>
      <x:c r="B83" s="1" t="str">
        <x:v>Clean</x:v>
      </x:c>
      <x:c r="C83" s="7" t="n">
        <x:v>165.0995094734909</x:v>
      </x:c>
      <x:c r="D83" s="7" t="n">
        <x:v>28.975060003445616</x:v>
      </x:c>
      <x:c r="E83" s="1" t="str">
        <x:v>11:00:23.88</x:v>
      </x:c>
      <x:c r="F83" s="1" t="str">
        <x:v>+28:58:30.22</x:v>
      </x:c>
      <x:c r="G83" s="1" t="str">
        <x:f>IF(D83&gt;0,"North",IF(D83&lt;0,"South","Equator"))</x:f>
        <x:v>North</x:v>
      </x:c>
      <x:c r="H83" s="8" t="n">
        <x:f>DEGREES(ACOS(MAX(-1,MIN(1,SIN(RADIANS(D83))*SIN(RADIANS('Sources and method'!$B$5))+COS(RADIANS(D83))*COS(RADIANS('Sources and method'!$B$5))*COS(RADIANS(C83-'Sources and method'!$B$4))))))</x:f>
        <x:v>122.02524160588985</x:v>
      </x:c>
      <x:c r="I83" s="1" t="str">
        <x:v>2026-08-29T11:54:05</x:v>
      </x:c>
      <x:c r="J83" s="9" t="str"/>
      <x:c r="K83" s="9" t="str">
        <x:v>all182_cleanliness_decisions.csv</x:v>
      </x:c>
      <x:c r="L83" s="9" t="str">
        <x:v>NGC3486.phot.1.fits</x:v>
      </x:c>
      <x:c r="M83" s="9" t="str">
        <x:v>Clean</x:v>
      </x:c>
    </x:row>
    <x:row r="84" ht="15" hidden="0" customHeight="1">
      <x:c r="A84" s="1" t="str">
        <x:v>NGC3504</x:v>
      </x:c>
      <x:c r="B84" s="1" t="str">
        <x:v>Unreviewed</x:v>
      </x:c>
      <x:c r="C84" s="7" t="n">
        <x:v>165.79680294443975</x:v>
      </x:c>
      <x:c r="D84" s="7" t="n">
        <x:v>27.972668358776275</x:v>
      </x:c>
      <x:c r="E84" s="1" t="str">
        <x:v>11:03:11.23</x:v>
      </x:c>
      <x:c r="F84" s="1" t="str">
        <x:v>+27:58:21.61</x:v>
      </x:c>
      <x:c r="G84" s="1" t="str">
        <x:f>IF(D84&gt;0,"North",IF(D84&lt;0,"South","Equator"))</x:f>
        <x:v>North</x:v>
      </x:c>
      <x:c r="H84" s="8" t="n">
        <x:f>DEGREES(ACOS(MAX(-1,MIN(1,SIN(RADIANS(D84))*SIN(RADIANS('Sources and method'!$B$5))+COS(RADIANS(D84))*COS(RADIANS('Sources and method'!$B$5))*COS(RADIANS(C84-'Sources and method'!$B$4))))))</x:f>
        <x:v>122.13620921115576</x:v>
      </x:c>
      <x:c r="I84" s="1" t="str"/>
      <x:c r="J84" s="9" t="str"/>
      <x:c r="K84" s="9" t="str">
        <x:v>No recorded categorical review</x:v>
      </x:c>
      <x:c r="L84" s="9" t="str">
        <x:v>NGC3504.phot.1.fits</x:v>
      </x:c>
      <x:c r="M84" s="9" t="str">
        <x:v>Unreviewed</x:v>
      </x:c>
    </x:row>
    <x:row r="85" ht="15" hidden="0" customHeight="1">
      <x:c r="A85" s="1" t="str">
        <x:v>NGC3627</x:v>
      </x:c>
      <x:c r="B85" s="1" t="str">
        <x:v>Clean</x:v>
      </x:c>
      <x:c r="C85" s="7" t="n">
        <x:v>170.06251610906705</x:v>
      </x:c>
      <x:c r="D85" s="7" t="n">
        <x:v>12.991500003857922</x:v>
      </x:c>
      <x:c r="E85" s="1" t="str">
        <x:v>11:20:15.00</x:v>
      </x:c>
      <x:c r="F85" s="1" t="str">
        <x:v>+12:59:29.40</x:v>
      </x:c>
      <x:c r="G85" s="1" t="str">
        <x:f>IF(D85&gt;0,"North",IF(D85&lt;0,"South","Equator"))</x:f>
        <x:v>North</x:v>
      </x:c>
      <x:c r="H85" s="8" t="n">
        <x:f>DEGREES(ACOS(MAX(-1,MIN(1,SIN(RADIANS(D85))*SIN(RADIANS('Sources and method'!$B$5))+COS(RADIANS(D85))*COS(RADIANS('Sources and method'!$B$5))*COS(RADIANS(C85-'Sources and method'!$B$4))))))</x:f>
        <x:v>118.12381675699746</x:v>
      </x:c>
      <x:c r="I85" s="1" t="str">
        <x:v>2026-08-29T11:56:58</x:v>
      </x:c>
      <x:c r="J85" s="9" t="str"/>
      <x:c r="K85" s="9" t="str">
        <x:v>all182_cleanliness_decisions.csv</x:v>
      </x:c>
      <x:c r="L85" s="9" t="str">
        <x:v>NGC3627.phot.1.fits</x:v>
      </x:c>
      <x:c r="M85" s="9" t="str">
        <x:v>Clean</x:v>
      </x:c>
    </x:row>
    <x:row r="86" ht="15" hidden="0" customHeight="1">
      <x:c r="A86" s="1" t="str">
        <x:v>NGC3673</x:v>
      </x:c>
      <x:c r="B86" s="1" t="str">
        <x:v>Polluted</x:v>
      </x:c>
      <x:c r="C86" s="7" t="n">
        <x:v>171.30361563168228</x:v>
      </x:c>
      <x:c r="D86" s="7" t="n">
        <x:v>-26.736712083609092</x:v>
      </x:c>
      <x:c r="E86" s="1" t="str">
        <x:v>11:25:12.87</x:v>
      </x:c>
      <x:c r="F86" s="1" t="str">
        <x:v>-26:44:12.16</x:v>
      </x:c>
      <x:c r="G86" s="1" t="str">
        <x:f>IF(D86&gt;0,"North",IF(D86&lt;0,"South","Equator"))</x:f>
        <x:v>South</x:v>
      </x:c>
      <x:c r="H86" s="8" t="n">
        <x:f>DEGREES(ACOS(MAX(-1,MIN(1,SIN(RADIANS(D86))*SIN(RADIANS('Sources and method'!$B$5))+COS(RADIANS(D86))*COS(RADIANS('Sources and method'!$B$5))*COS(RADIANS(C86-'Sources and method'!$B$4))))))</x:f>
        <x:v>93.76994131832123</x:v>
      </x:c>
      <x:c r="I86" s="1" t="str">
        <x:v>2026-08-27T19:41:39</x:v>
      </x:c>
      <x:c r="J86" s="9" t="str"/>
      <x:c r="K86" s="9" t="str">
        <x:v>blind_remaining_decisions.csv</x:v>
      </x:c>
      <x:c r="L86" s="9" t="str">
        <x:v>NGC3673.phot.1.fits</x:v>
      </x:c>
      <x:c r="M86" s="9" t="str">
        <x:v>Unreviewed</x:v>
      </x:c>
    </x:row>
    <x:row r="87" ht="15" hidden="0" customHeight="1">
      <x:c r="A87" s="1" t="str">
        <x:v>NGC3681</x:v>
      </x:c>
      <x:c r="B87" s="1" t="str">
        <x:v>Clean</x:v>
      </x:c>
      <x:c r="C87" s="7" t="n">
        <x:v>171.62417147696453</x:v>
      </x:c>
      <x:c r="D87" s="7" t="n">
        <x:v>16.86342297719291</x:v>
      </x:c>
      <x:c r="E87" s="1" t="str">
        <x:v>11:26:29.80</x:v>
      </x:c>
      <x:c r="F87" s="1" t="str">
        <x:v>+16:51:48.32</x:v>
      </x:c>
      <x:c r="G87" s="1" t="str">
        <x:f>IF(D87&gt;0,"North",IF(D87&lt;0,"South","Equator"))</x:f>
        <x:v>North</x:v>
      </x:c>
      <x:c r="H87" s="8" t="n">
        <x:f>DEGREES(ACOS(MAX(-1,MIN(1,SIN(RADIANS(D87))*SIN(RADIANS('Sources and method'!$B$5))+COS(RADIANS(D87))*COS(RADIANS('Sources and method'!$B$5))*COS(RADIANS(C87-'Sources and method'!$B$4))))))</x:f>
        <x:v>121.48090217156984</x:v>
      </x:c>
      <x:c r="I87" s="1" t="str">
        <x:v>2026-08-29T11:54:24</x:v>
      </x:c>
      <x:c r="J87" s="9" t="str"/>
      <x:c r="K87" s="9" t="str">
        <x:v>all182_cleanliness_decisions.csv</x:v>
      </x:c>
      <x:c r="L87" s="9" t="str">
        <x:v>NGC3681.phot.1.fits</x:v>
      </x:c>
      <x:c r="M87" s="9" t="str">
        <x:v>Clean</x:v>
      </x:c>
    </x:row>
    <x:row r="88" ht="15" hidden="0" customHeight="1">
      <x:c r="A88" s="1" t="str">
        <x:v>NGC3684</x:v>
      </x:c>
      <x:c r="B88" s="1" t="str">
        <x:v>Clean</x:v>
      </x:c>
      <x:c r="C88" s="7" t="n">
        <x:v>171.7966503440329</x:v>
      </x:c>
      <x:c r="D88" s="7" t="n">
        <x:v>17.030226661113485</x:v>
      </x:c>
      <x:c r="E88" s="1" t="str">
        <x:v>11:27:11.20</x:v>
      </x:c>
      <x:c r="F88" s="1" t="str">
        <x:v>+17:01:48.82</x:v>
      </x:c>
      <x:c r="G88" s="1" t="str">
        <x:f>IF(D88&gt;0,"North",IF(D88&lt;0,"South","Equator"))</x:f>
        <x:v>North</x:v>
      </x:c>
      <x:c r="H88" s="8" t="n">
        <x:f>DEGREES(ACOS(MAX(-1,MIN(1,SIN(RADIANS(D88))*SIN(RADIANS('Sources and method'!$B$5))+COS(RADIANS(D88))*COS(RADIANS('Sources and method'!$B$5))*COS(RADIANS(C88-'Sources and method'!$B$4))))))</x:f>
        <x:v>121.70885891445545</x:v>
      </x:c>
      <x:c r="I88" s="1" t="str">
        <x:v>2026-08-29T11:55:22</x:v>
      </x:c>
      <x:c r="J88" s="9" t="str"/>
      <x:c r="K88" s="9" t="str">
        <x:v>all182_cleanliness_decisions.csv</x:v>
      </x:c>
      <x:c r="L88" s="9" t="str">
        <x:v>NGC3684.phot.1.fits</x:v>
      </x:c>
      <x:c r="M88" s="9" t="str">
        <x:v>Clean</x:v>
      </x:c>
    </x:row>
    <x:row r="89" ht="15" hidden="0" customHeight="1">
      <x:c r="A89" s="1" t="str">
        <x:v>NGC3726</x:v>
      </x:c>
      <x:c r="B89" s="1" t="str">
        <x:v>Unreviewed</x:v>
      </x:c>
      <x:c r="C89" s="7" t="n">
        <x:v>173.3380624557972</x:v>
      </x:c>
      <x:c r="D89" s="7" t="n">
        <x:v>47.02924666535798</x:v>
      </x:c>
      <x:c r="E89" s="1" t="str">
        <x:v>11:33:21.13</x:v>
      </x:c>
      <x:c r="F89" s="1" t="str">
        <x:v>+47:01:45.29</x:v>
      </x:c>
      <x:c r="G89" s="1" t="str">
        <x:f>IF(D89&gt;0,"North",IF(D89&lt;0,"South","Equator"))</x:f>
        <x:v>North</x:v>
      </x:c>
      <x:c r="H89" s="8" t="n">
        <x:f>DEGREES(ACOS(MAX(-1,MIN(1,SIN(RADIANS(D89))*SIN(RADIANS('Sources and method'!$B$5))+COS(RADIANS(D89))*COS(RADIANS('Sources and method'!$B$5))*COS(RADIANS(C89-'Sources and method'!$B$4))))))</x:f>
        <x:v>133.72376486917256</x:v>
      </x:c>
      <x:c r="I89" s="1" t="str"/>
      <x:c r="J89" s="9" t="str"/>
      <x:c r="K89" s="9" t="str">
        <x:v>No recorded categorical review</x:v>
      </x:c>
      <x:c r="L89" s="9" t="str">
        <x:v>NGC3726.phot.1.fits</x:v>
      </x:c>
      <x:c r="M89" s="9" t="str">
        <x:v>Unreviewed</x:v>
      </x:c>
    </x:row>
    <x:row r="90" ht="15" hidden="0" customHeight="1">
      <x:c r="A90" s="1" t="str">
        <x:v>NGC3729</x:v>
      </x:c>
      <x:c r="B90" s="1" t="str">
        <x:v>Unreviewed</x:v>
      </x:c>
      <x:c r="C90" s="7" t="n">
        <x:v>173.45573819278638</x:v>
      </x:c>
      <x:c r="D90" s="7" t="n">
        <x:v>53.12557380559576</x:v>
      </x:c>
      <x:c r="E90" s="1" t="str">
        <x:v>11:33:49.38</x:v>
      </x:c>
      <x:c r="F90" s="1" t="str">
        <x:v>+53:07:32.07</x:v>
      </x:c>
      <x:c r="G90" s="1" t="str">
        <x:f>IF(D90&gt;0,"North",IF(D90&lt;0,"South","Equator"))</x:f>
        <x:v>North</x:v>
      </x:c>
      <x:c r="H90" s="8" t="n">
        <x:f>DEGREES(ACOS(MAX(-1,MIN(1,SIN(RADIANS(D90))*SIN(RADIANS('Sources and method'!$B$5))+COS(RADIANS(D90))*COS(RADIANS('Sources and method'!$B$5))*COS(RADIANS(C90-'Sources and method'!$B$4))))))</x:f>
        <x:v>134.40486501362938</x:v>
      </x:c>
      <x:c r="I90" s="1" t="str"/>
      <x:c r="J90" s="9" t="str"/>
      <x:c r="K90" s="9" t="str">
        <x:v>No recorded categorical review</x:v>
      </x:c>
      <x:c r="L90" s="9" t="str">
        <x:v>NGC3729.phot.1.fits</x:v>
      </x:c>
      <x:c r="M90" s="9" t="str">
        <x:v>Unreviewed</x:v>
      </x:c>
    </x:row>
    <x:row r="91" ht="15" hidden="0" customHeight="1">
      <x:c r="A91" s="1" t="str">
        <x:v>NGC3850</x:v>
      </x:c>
      <x:c r="B91" s="1" t="str">
        <x:v>Polluted</x:v>
      </x:c>
      <x:c r="C91" s="7" t="n">
        <x:v>176.39854969451952</x:v>
      </x:c>
      <x:c r="D91" s="7" t="n">
        <x:v>55.88690458285146</x:v>
      </x:c>
      <x:c r="E91" s="1" t="str">
        <x:v>11:45:35.65</x:v>
      </x:c>
      <x:c r="F91" s="1" t="str">
        <x:v>+55:53:12.86</x:v>
      </x:c>
      <x:c r="G91" s="1" t="str">
        <x:f>IF(D91&gt;0,"North",IF(D91&lt;0,"South","Equator"))</x:f>
        <x:v>North</x:v>
      </x:c>
      <x:c r="H91" s="8" t="n">
        <x:f>DEGREES(ACOS(MAX(-1,MIN(1,SIN(RADIANS(D91))*SIN(RADIANS('Sources and method'!$B$5))+COS(RADIANS(D91))*COS(RADIANS('Sources and method'!$B$5))*COS(RADIANS(C91-'Sources and method'!$B$4))))))</x:f>
        <x:v>136.12007509338468</x:v>
      </x:c>
      <x:c r="I91" s="1" t="str">
        <x:v>2026-08-29T11:54:37</x:v>
      </x:c>
      <x:c r="J91" s="9" t="str"/>
      <x:c r="K91" s="9" t="str">
        <x:v>all182_cleanliness_decisions.csv</x:v>
      </x:c>
      <x:c r="L91" s="9" t="str">
        <x:v>NGC3850.phot.1.fits</x:v>
      </x:c>
      <x:c r="M91" s="9" t="str">
        <x:v>Polluted</x:v>
      </x:c>
    </x:row>
    <x:row r="92" ht="15" hidden="0" customHeight="1">
      <x:c r="A92" s="1" t="str">
        <x:v>NGC3930</x:v>
      </x:c>
      <x:c r="B92" s="1" t="str">
        <x:v>Unreviewed</x:v>
      </x:c>
      <x:c r="C92" s="7" t="n">
        <x:v>177.94097643703523</x:v>
      </x:c>
      <x:c r="D92" s="7" t="n">
        <x:v>38.015097497500626</x:v>
      </x:c>
      <x:c r="E92" s="1" t="str">
        <x:v>11:51:45.83</x:v>
      </x:c>
      <x:c r="F92" s="1" t="str">
        <x:v>+38:00:54.35</x:v>
      </x:c>
      <x:c r="G92" s="1" t="str">
        <x:f>IF(D92&gt;0,"North",IF(D92&lt;0,"South","Equator"))</x:f>
        <x:v>North</x:v>
      </x:c>
      <x:c r="H92" s="8" t="n">
        <x:f>DEGREES(ACOS(MAX(-1,MIN(1,SIN(RADIANS(D92))*SIN(RADIANS('Sources and method'!$B$5))+COS(RADIANS(D92))*COS(RADIANS('Sources and method'!$B$5))*COS(RADIANS(C92-'Sources and method'!$B$4))))))</x:f>
        <x:v>135.21458018796716</x:v>
      </x:c>
      <x:c r="I92" s="1" t="str"/>
      <x:c r="J92" s="9" t="str"/>
      <x:c r="K92" s="9" t="str">
        <x:v>No recorded categorical review</x:v>
      </x:c>
      <x:c r="L92" s="9" t="str">
        <x:v>NGC3930.phot.1.fits</x:v>
      </x:c>
      <x:c r="M92" s="9" t="str">
        <x:v>Unreviewed</x:v>
      </x:c>
    </x:row>
    <x:row r="93" ht="15" hidden="0" customHeight="1">
      <x:c r="A93" s="1" t="str">
        <x:v>NGC3953</x:v>
      </x:c>
      <x:c r="B93" s="1" t="str">
        <x:v>Polluted</x:v>
      </x:c>
      <x:c r="C93" s="7" t="n">
        <x:v>178.4541886392975</x:v>
      </x:c>
      <x:c r="D93" s="7" t="n">
        <x:v>52.32684668034268</x:v>
      </x:c>
      <x:c r="E93" s="1" t="str">
        <x:v>11:53:49.01</x:v>
      </x:c>
      <x:c r="F93" s="1" t="str">
        <x:v>+52:19:36.65</x:v>
      </x:c>
      <x:c r="G93" s="1" t="str">
        <x:f>IF(D93&gt;0,"North",IF(D93&lt;0,"South","Equator"))</x:f>
        <x:v>North</x:v>
      </x:c>
      <x:c r="H93" s="8" t="n">
        <x:f>DEGREES(ACOS(MAX(-1,MIN(1,SIN(RADIANS(D93))*SIN(RADIANS('Sources and method'!$B$5))+COS(RADIANS(D93))*COS(RADIANS('Sources and method'!$B$5))*COS(RADIANS(C93-'Sources and method'!$B$4))))))</x:f>
        <x:v>137.4147941747616</x:v>
      </x:c>
      <x:c r="I93" s="1" t="str">
        <x:v>2026-08-29T11:57:08</x:v>
      </x:c>
      <x:c r="J93" s="9" t="str"/>
      <x:c r="K93" s="9" t="str">
        <x:v>all182_cleanliness_decisions.csv</x:v>
      </x:c>
      <x:c r="L93" s="9" t="str">
        <x:v>NGC3953.phot.1.fits</x:v>
      </x:c>
      <x:c r="M93" s="9" t="str">
        <x:v>Polluted</x:v>
      </x:c>
    </x:row>
    <x:row r="94" ht="15" hidden="0" customHeight="1">
      <x:c r="A94" s="1" t="str">
        <x:v>NGC3992</x:v>
      </x:c>
      <x:c r="B94" s="1" t="str">
        <x:v>Polluted</x:v>
      </x:c>
      <x:c r="C94" s="7" t="n">
        <x:v>179.39981173153203</x:v>
      </x:c>
      <x:c r="D94" s="7" t="n">
        <x:v>53.37484168751325</x:v>
      </x:c>
      <x:c r="E94" s="1" t="str">
        <x:v>11:57:35.95</x:v>
      </x:c>
      <x:c r="F94" s="1" t="str">
        <x:v>+53:22:29.43</x:v>
      </x:c>
      <x:c r="G94" s="1" t="str">
        <x:f>IF(D94&gt;0,"North",IF(D94&lt;0,"South","Equator"))</x:f>
        <x:v>North</x:v>
      </x:c>
      <x:c r="H94" s="8" t="n">
        <x:f>DEGREES(ACOS(MAX(-1,MIN(1,SIN(RADIANS(D94))*SIN(RADIANS('Sources and method'!$B$5))+COS(RADIANS(D94))*COS(RADIANS('Sources and method'!$B$5))*COS(RADIANS(C94-'Sources and method'!$B$4))))))</x:f>
        <x:v>137.96118492048237</x:v>
      </x:c>
      <x:c r="I94" s="1" t="str">
        <x:v>2026-08-29T11:56:56</x:v>
      </x:c>
      <x:c r="J94" s="9" t="str"/>
      <x:c r="K94" s="9" t="str">
        <x:v>all182_cleanliness_decisions.csv</x:v>
      </x:c>
      <x:c r="L94" s="9" t="str">
        <x:v>NGC3992.phot.1.fits</x:v>
      </x:c>
      <x:c r="M94" s="9" t="str">
        <x:v>Polluted</x:v>
      </x:c>
    </x:row>
    <x:row r="95" ht="15" hidden="0" customHeight="1">
      <x:c r="A95" s="1" t="str">
        <x:v>NGC4020</x:v>
      </x:c>
      <x:c r="B95" s="1" t="str">
        <x:v>Polluted</x:v>
      </x:c>
      <x:c r="C95" s="7" t="n">
        <x:v>179.7361469113729</x:v>
      </x:c>
      <x:c r="D95" s="7" t="n">
        <x:v>30.41188249762083</x:v>
      </x:c>
      <x:c r="E95" s="1" t="str">
        <x:v>11:58:56.68</x:v>
      </x:c>
      <x:c r="F95" s="1" t="str">
        <x:v>+30:24:42.78</x:v>
      </x:c>
      <x:c r="G95" s="1" t="str">
        <x:f>IF(D95&gt;0,"North",IF(D95&lt;0,"South","Equator"))</x:f>
        <x:v>North</x:v>
      </x:c>
      <x:c r="H95" s="8" t="n">
        <x:f>DEGREES(ACOS(MAX(-1,MIN(1,SIN(RADIANS(D95))*SIN(RADIANS('Sources and method'!$B$5))+COS(RADIANS(D95))*COS(RADIANS('Sources and method'!$B$5))*COS(RADIANS(C95-'Sources and method'!$B$4))))))</x:f>
        <x:v>134.24385890317646</x:v>
      </x:c>
      <x:c r="I95" s="1" t="str">
        <x:v>2026-08-27T19:41:24</x:v>
      </x:c>
      <x:c r="J95" s="9" t="str"/>
      <x:c r="K95" s="9" t="str">
        <x:v>blind_remaining_decisions.csv</x:v>
      </x:c>
      <x:c r="L95" s="9" t="str">
        <x:v>NGC4020.phot.1.fits</x:v>
      </x:c>
      <x:c r="M95" s="9" t="str">
        <x:v>Unreviewed</x:v>
      </x:c>
    </x:row>
    <x:row r="96" ht="15" hidden="0" customHeight="1">
      <x:c r="A96" s="1" t="str">
        <x:v>NGC4064</x:v>
      </x:c>
      <x:c r="B96" s="1" t="str">
        <x:v>Polluted</x:v>
      </x:c>
      <x:c r="C96" s="7" t="n">
        <x:v>181.0464401911028</x:v>
      </x:c>
      <x:c r="D96" s="7" t="n">
        <x:v>18.44366500645622</x:v>
      </x:c>
      <x:c r="E96" s="1" t="str">
        <x:v>12:04:11.15</x:v>
      </x:c>
      <x:c r="F96" s="1" t="str">
        <x:v>+18:26:37.19</x:v>
      </x:c>
      <x:c r="G96" s="1" t="str">
        <x:f>IF(D96&gt;0,"North",IF(D96&lt;0,"South","Equator"))</x:f>
        <x:v>North</x:v>
      </x:c>
      <x:c r="H96" s="8" t="n">
        <x:f>DEGREES(ACOS(MAX(-1,MIN(1,SIN(RADIANS(D96))*SIN(RADIANS('Sources and method'!$B$5))+COS(RADIANS(D96))*COS(RADIANS('Sources and method'!$B$5))*COS(RADIANS(C96-'Sources and method'!$B$4))))))</x:f>
        <x:v>129.96715386783893</x:v>
      </x:c>
      <x:c r="I96" s="1" t="str">
        <x:v>2026-08-29T11:56:33</x:v>
      </x:c>
      <x:c r="J96" s="9" t="str"/>
      <x:c r="K96" s="9" t="str">
        <x:v>all182_cleanliness_decisions.csv</x:v>
      </x:c>
      <x:c r="L96" s="9" t="str">
        <x:v>NGC4064.phot.1.fits</x:v>
      </x:c>
      <x:c r="M96" s="9" t="str">
        <x:v>Polluted</x:v>
      </x:c>
    </x:row>
    <x:row r="97" ht="15" hidden="0" customHeight="1">
      <x:c r="A97" s="1" t="str">
        <x:v>NGC4102</x:v>
      </x:c>
      <x:c r="B97" s="1" t="str">
        <x:v>Clean</x:v>
      </x:c>
      <x:c r="C97" s="7" t="n">
        <x:v>181.59622661308512</x:v>
      </x:c>
      <x:c r="D97" s="7" t="n">
        <x:v>52.71122411673352</x:v>
      </x:c>
      <x:c r="E97" s="1" t="str">
        <x:v>12:06:23.09</x:v>
      </x:c>
      <x:c r="F97" s="1" t="str">
        <x:v>+52:42:40.41</x:v>
      </x:c>
      <x:c r="G97" s="1" t="str">
        <x:f>IF(D97&gt;0,"North",IF(D97&lt;0,"South","Equator"))</x:f>
        <x:v>North</x:v>
      </x:c>
      <x:c r="H97" s="8" t="n">
        <x:f>DEGREES(ACOS(MAX(-1,MIN(1,SIN(RADIANS(D97))*SIN(RADIANS('Sources and method'!$B$5))+COS(RADIANS(D97))*COS(RADIANS('Sources and method'!$B$5))*COS(RADIANS(C97-'Sources and method'!$B$4))))))</x:f>
        <x:v>139.3129550842313</x:v>
      </x:c>
      <x:c r="I97" s="1" t="str">
        <x:v>2026-08-29T11:55:27</x:v>
      </x:c>
      <x:c r="J97" s="9" t="str"/>
      <x:c r="K97" s="9" t="str">
        <x:v>all182_cleanliness_decisions.csv</x:v>
      </x:c>
      <x:c r="L97" s="9" t="str">
        <x:v>NGC4102.phot.1.fits</x:v>
      </x:c>
      <x:c r="M97" s="9" t="str">
        <x:v>Clean</x:v>
      </x:c>
    </x:row>
    <x:row r="98" ht="15" hidden="0" customHeight="1">
      <x:c r="A98" s="1" t="str">
        <x:v>NGC4116</x:v>
      </x:c>
      <x:c r="B98" s="1" t="str">
        <x:v>Unreviewed</x:v>
      </x:c>
      <x:c r="C98" s="7" t="n">
        <x:v>181.90239311241555</x:v>
      </x:c>
      <x:c r="D98" s="7" t="n">
        <x:v>2.6934147398682673</x:v>
      </x:c>
      <x:c r="E98" s="1" t="str">
        <x:v>12:07:36.57</x:v>
      </x:c>
      <x:c r="F98" s="1" t="str">
        <x:v>+02:41:36.29</x:v>
      </x:c>
      <x:c r="G98" s="1" t="str">
        <x:f>IF(D98&gt;0,"North",IF(D98&lt;0,"South","Equator"))</x:f>
        <x:v>North</x:v>
      </x:c>
      <x:c r="H98" s="8" t="n">
        <x:f>DEGREES(ACOS(MAX(-1,MIN(1,SIN(RADIANS(D98))*SIN(RADIANS('Sources and method'!$B$5))+COS(RADIANS(D98))*COS(RADIANS('Sources and method'!$B$5))*COS(RADIANS(C98-'Sources and method'!$B$4))))))</x:f>
        <x:v>121.3419515134093</x:v>
      </x:c>
      <x:c r="I98" s="1" t="str"/>
      <x:c r="J98" s="9" t="str"/>
      <x:c r="K98" s="9" t="str">
        <x:v>No recorded categorical review</x:v>
      </x:c>
      <x:c r="L98" s="9" t="str">
        <x:v>NGC4116.phot.1.fits</x:v>
      </x:c>
      <x:c r="M98" s="9" t="str">
        <x:v>Unreviewed</x:v>
      </x:c>
    </x:row>
    <x:row r="99" ht="15" hidden="0" customHeight="1">
      <x:c r="A99" s="1" t="str">
        <x:v>NGC4123</x:v>
      </x:c>
      <x:c r="B99" s="1" t="str">
        <x:v>Polluted</x:v>
      </x:c>
      <x:c r="C99" s="7" t="n">
        <x:v>182.04630208794268</x:v>
      </x:c>
      <x:c r="D99" s="7" t="n">
        <x:v>2.8783329121862495</x:v>
      </x:c>
      <x:c r="E99" s="1" t="str">
        <x:v>12:08:11.11</x:v>
      </x:c>
      <x:c r="F99" s="1" t="str">
        <x:v>+02:52:42.00</x:v>
      </x:c>
      <x:c r="G99" s="1" t="str">
        <x:f>IF(D99&gt;0,"North",IF(D99&lt;0,"South","Equator"))</x:f>
        <x:v>North</x:v>
      </x:c>
      <x:c r="H99" s="8" t="n">
        <x:f>DEGREES(ACOS(MAX(-1,MIN(1,SIN(RADIANS(D99))*SIN(RADIANS('Sources and method'!$B$5))+COS(RADIANS(D99))*COS(RADIANS('Sources and method'!$B$5))*COS(RADIANS(C99-'Sources and method'!$B$4))))))</x:f>
        <x:v>121.57143995694986</x:v>
      </x:c>
      <x:c r="I99" s="1" t="str">
        <x:v>2026-08-27T19:42:55</x:v>
      </x:c>
      <x:c r="J99" s="9" t="str"/>
      <x:c r="K99" s="9" t="str">
        <x:v>blind_remaining_decisions.csv</x:v>
      </x:c>
      <x:c r="L99" s="9" t="str">
        <x:v>NGC4123.phot.1.fits</x:v>
      </x:c>
      <x:c r="M99" s="9" t="str">
        <x:v>Unreviewed</x:v>
      </x:c>
    </x:row>
    <x:row r="100" ht="15" hidden="0" customHeight="1">
      <x:c r="A100" s="1" t="str">
        <x:v>NGC4133</x:v>
      </x:c>
      <x:c r="B100" s="1" t="str">
        <x:v>Polluted</x:v>
      </x:c>
      <x:c r="C100" s="7" t="n">
        <x:v>182.20863996732018</x:v>
      </x:c>
      <x:c r="D100" s="7" t="n">
        <x:v>74.90431333425222</x:v>
      </x:c>
      <x:c r="E100" s="1" t="str">
        <x:v>12:08:50.07</x:v>
      </x:c>
      <x:c r="F100" s="1" t="str">
        <x:v>+74:54:15.53</x:v>
      </x:c>
      <x:c r="G100" s="1" t="str">
        <x:f>IF(D100&gt;0,"North",IF(D100&lt;0,"South","Equator"))</x:f>
        <x:v>North</x:v>
      </x:c>
      <x:c r="H100" s="8" t="n">
        <x:f>DEGREES(ACOS(MAX(-1,MIN(1,SIN(RADIANS(D100))*SIN(RADIANS('Sources and method'!$B$5))+COS(RADIANS(D100))*COS(RADIANS('Sources and method'!$B$5))*COS(RADIANS(C100-'Sources and method'!$B$4))))))</x:f>
        <x:v>133.5822110482692</x:v>
      </x:c>
      <x:c r="I100" s="1" t="str">
        <x:v>2026-08-29T11:55:44</x:v>
      </x:c>
      <x:c r="J100" s="9" t="str"/>
      <x:c r="K100" s="9" t="str">
        <x:v>all182_cleanliness_decisions.csv</x:v>
      </x:c>
      <x:c r="L100" s="9" t="str">
        <x:v>NGC4133.phot.1.fits</x:v>
      </x:c>
      <x:c r="M100" s="9" t="str">
        <x:v>Polluted</x:v>
      </x:c>
    </x:row>
    <x:row r="101" ht="15" hidden="0" customHeight="1">
      <x:c r="A101" s="1" t="str">
        <x:v>NGC4145</x:v>
      </x:c>
      <x:c r="B101" s="1" t="str">
        <x:v>Unreviewed</x:v>
      </x:c>
      <x:c r="C101" s="7" t="n">
        <x:v>182.50858367399812</x:v>
      </x:c>
      <x:c r="D101" s="7" t="n">
        <x:v>39.88146921229613</x:v>
      </x:c>
      <x:c r="E101" s="1" t="str">
        <x:v>12:10:02.06</x:v>
      </x:c>
      <x:c r="F101" s="1" t="str">
        <x:v>+39:52:53.29</x:v>
      </x:c>
      <x:c r="G101" s="1" t="str">
        <x:f>IF(D101&gt;0,"North",IF(D101&lt;0,"South","Equator"))</x:f>
        <x:v>North</x:v>
      </x:c>
      <x:c r="H101" s="8" t="n">
        <x:f>DEGREES(ACOS(MAX(-1,MIN(1,SIN(RADIANS(D101))*SIN(RADIANS('Sources and method'!$B$5))+COS(RADIANS(D101))*COS(RADIANS('Sources and method'!$B$5))*COS(RADIANS(C101-'Sources and method'!$B$4))))))</x:f>
        <x:v>139.09425049464846</x:v>
      </x:c>
      <x:c r="I101" s="1" t="str"/>
      <x:c r="J101" s="9" t="str"/>
      <x:c r="K101" s="9" t="str">
        <x:v>No recorded categorical review</x:v>
      </x:c>
      <x:c r="L101" s="9" t="str">
        <x:v>NGC4145.phot.1.fits</x:v>
      </x:c>
      <x:c r="M101" s="9" t="str">
        <x:v>Unreviewed</x:v>
      </x:c>
    </x:row>
    <x:row r="102" ht="15" hidden="0" customHeight="1">
      <x:c r="A102" s="1" t="str">
        <x:v>NGC4204</x:v>
      </x:c>
      <x:c r="B102" s="1" t="str">
        <x:v>Unreviewed</x:v>
      </x:c>
      <x:c r="C102" s="7" t="n">
        <x:v>183.81024268777935</x:v>
      </x:c>
      <x:c r="D102" s="7" t="n">
        <x:v>20.658799597907805</x:v>
      </x:c>
      <x:c r="E102" s="1" t="str">
        <x:v>12:15:14.46</x:v>
      </x:c>
      <x:c r="F102" s="1" t="str">
        <x:v>+20:39:31.68</x:v>
      </x:c>
      <x:c r="G102" s="1" t="str">
        <x:f>IF(D102&gt;0,"North",IF(D102&lt;0,"South","Equator"))</x:f>
        <x:v>North</x:v>
      </x:c>
      <x:c r="H102" s="8" t="n">
        <x:f>DEGREES(ACOS(MAX(-1,MIN(1,SIN(RADIANS(D102))*SIN(RADIANS('Sources and method'!$B$5))+COS(RADIANS(D102))*COS(RADIANS('Sources and method'!$B$5))*COS(RADIANS(C102-'Sources and method'!$B$4))))))</x:f>
        <x:v>133.33533931349396</x:v>
      </x:c>
      <x:c r="I102" s="1" t="str"/>
      <x:c r="J102" s="9" t="str"/>
      <x:c r="K102" s="9" t="str">
        <x:v>No recorded categorical review</x:v>
      </x:c>
      <x:c r="L102" s="9" t="str">
        <x:v>NGC4204.phot.1.fits</x:v>
      </x:c>
      <x:c r="M102" s="9" t="str">
        <x:v>Unreviewed</x:v>
      </x:c>
    </x:row>
    <x:row r="103" ht="15" hidden="0" customHeight="1">
      <x:c r="A103" s="1" t="str">
        <x:v>NGC4214</x:v>
      </x:c>
      <x:c r="B103" s="1" t="str">
        <x:v>Polluted</x:v>
      </x:c>
      <x:c r="C103" s="7" t="n">
        <x:v>183.90901193546142</x:v>
      </x:c>
      <x:c r="D103" s="7" t="n">
        <x:v>36.328995549424874</x:v>
      </x:c>
      <x:c r="E103" s="1" t="str">
        <x:v>12:15:38.16</x:v>
      </x:c>
      <x:c r="F103" s="1" t="str">
        <x:v>+36:19:44.38</x:v>
      </x:c>
      <x:c r="G103" s="1" t="str">
        <x:f>IF(D103&gt;0,"North",IF(D103&lt;0,"South","Equator"))</x:f>
        <x:v>North</x:v>
      </x:c>
      <x:c r="H103" s="8" t="n">
        <x:f>DEGREES(ACOS(MAX(-1,MIN(1,SIN(RADIANS(D103))*SIN(RADIANS('Sources and method'!$B$5))+COS(RADIANS(D103))*COS(RADIANS('Sources and method'!$B$5))*COS(RADIANS(C103-'Sources and method'!$B$4))))))</x:f>
        <x:v>139.39117637791327</x:v>
      </x:c>
      <x:c r="I103" s="1" t="str">
        <x:v>2026-08-27T19:42:46</x:v>
      </x:c>
      <x:c r="J103" s="9" t="str"/>
      <x:c r="K103" s="9" t="str">
        <x:v>blind_remaining_decisions.csv</x:v>
      </x:c>
      <x:c r="L103" s="9" t="str">
        <x:v>NGC4214.phot.1.fits</x:v>
      </x:c>
      <x:c r="M103" s="9" t="str">
        <x:v>Unreviewed</x:v>
      </x:c>
    </x:row>
    <x:row r="104" ht="15" hidden="0" customHeight="1">
      <x:c r="A104" s="1" t="str">
        <x:v>NGC4293</x:v>
      </x:c>
      <x:c r="B104" s="1" t="str">
        <x:v>Polluted</x:v>
      </x:c>
      <x:c r="C104" s="7" t="n">
        <x:v>185.3034629497984</x:v>
      </x:c>
      <x:c r="D104" s="7" t="n">
        <x:v>18.38257499963363</x:v>
      </x:c>
      <x:c r="E104" s="1" t="str">
        <x:v>12:21:12.83</x:v>
      </x:c>
      <x:c r="F104" s="1" t="str">
        <x:v>+18:22:57.27</x:v>
      </x:c>
      <x:c r="G104" s="1" t="str">
        <x:f>IF(D104&gt;0,"North",IF(D104&lt;0,"South","Equator"))</x:f>
        <x:v>North</x:v>
      </x:c>
      <x:c r="H104" s="8" t="n">
        <x:f>DEGREES(ACOS(MAX(-1,MIN(1,SIN(RADIANS(D104))*SIN(RADIANS('Sources and method'!$B$5))+COS(RADIANS(D104))*COS(RADIANS('Sources and method'!$B$5))*COS(RADIANS(C104-'Sources and method'!$B$4))))))</x:f>
        <x:v>133.37977225551828</x:v>
      </x:c>
      <x:c r="I104" s="1" t="str">
        <x:v>2026-08-29T11:57:04</x:v>
      </x:c>
      <x:c r="J104" s="9" t="str"/>
      <x:c r="K104" s="9" t="str">
        <x:v>all182_cleanliness_decisions.csv</x:v>
      </x:c>
      <x:c r="L104" s="9" t="str">
        <x:v>NGC4293.phot.1.fits</x:v>
      </x:c>
      <x:c r="M104" s="9" t="str">
        <x:v>Polluted</x:v>
      </x:c>
    </x:row>
    <x:row r="105" ht="15" hidden="0" customHeight="1">
      <x:c r="A105" s="1" t="str">
        <x:v>NGC4294</x:v>
      </x:c>
      <x:c r="B105" s="1" t="str">
        <x:v>Unreviewed</x:v>
      </x:c>
      <x:c r="C105" s="7" t="n">
        <x:v>185.32431165094243</x:v>
      </x:c>
      <x:c r="D105" s="7" t="n">
        <x:v>11.51062917993593</x:v>
      </x:c>
      <x:c r="E105" s="1" t="str">
        <x:v>12:21:17.83</x:v>
      </x:c>
      <x:c r="F105" s="1" t="str">
        <x:v>+11:30:38.27</x:v>
      </x:c>
      <x:c r="G105" s="1" t="str">
        <x:f>IF(D105&gt;0,"North",IF(D105&lt;0,"South","Equator"))</x:f>
        <x:v>North</x:v>
      </x:c>
      <x:c r="H105" s="8" t="n">
        <x:f>DEGREES(ACOS(MAX(-1,MIN(1,SIN(RADIANS(D105))*SIN(RADIANS('Sources and method'!$B$5))+COS(RADIANS(D105))*COS(RADIANS('Sources and method'!$B$5))*COS(RADIANS(C105-'Sources and method'!$B$4))))))</x:f>
        <x:v>129.51628025513264</x:v>
      </x:c>
      <x:c r="I105" s="1" t="str"/>
      <x:c r="J105" s="9" t="str"/>
      <x:c r="K105" s="9" t="str">
        <x:v>No recorded categorical review</x:v>
      </x:c>
      <x:c r="L105" s="9" t="str">
        <x:v>NGC4294.phot.1.fits</x:v>
      </x:c>
      <x:c r="M105" s="9" t="str">
        <x:v>Unreviewed</x:v>
      </x:c>
    </x:row>
    <x:row r="106" ht="15" hidden="0" customHeight="1">
      <x:c r="A106" s="1" t="str">
        <x:v>NGC4303</x:v>
      </x:c>
      <x:c r="B106" s="1" t="str">
        <x:v>Unreviewed</x:v>
      </x:c>
      <x:c r="C106" s="7" t="n">
        <x:v>185.5420218645381</x:v>
      </x:c>
      <x:c r="D106" s="7" t="n">
        <x:v>4.472459751547391</x:v>
      </x:c>
      <x:c r="E106" s="1" t="str">
        <x:v>12:22:10.09</x:v>
      </x:c>
      <x:c r="F106" s="1" t="str">
        <x:v>+04:28:20.86</x:v>
      </x:c>
      <x:c r="G106" s="1" t="str">
        <x:f>IF(D106&gt;0,"North",IF(D106&lt;0,"South","Equator"))</x:f>
        <x:v>North</x:v>
      </x:c>
      <x:c r="H106" s="8" t="n">
        <x:f>DEGREES(ACOS(MAX(-1,MIN(1,SIN(RADIANS(D106))*SIN(RADIANS('Sources and method'!$B$5))+COS(RADIANS(D106))*COS(RADIANS('Sources and method'!$B$5))*COS(RADIANS(C106-'Sources and method'!$B$4))))))</x:f>
        <x:v>125.25307685600494</x:v>
      </x:c>
      <x:c r="I106" s="1" t="str"/>
      <x:c r="J106" s="9" t="str"/>
      <x:c r="K106" s="9" t="str">
        <x:v>No recorded categorical review</x:v>
      </x:c>
      <x:c r="L106" s="9" t="str">
        <x:v>NGC4303.phot.1.fits</x:v>
      </x:c>
      <x:c r="M106" s="9" t="str">
        <x:v>Unreviewed</x:v>
      </x:c>
    </x:row>
    <x:row r="107" ht="15" hidden="0" customHeight="1">
      <x:c r="A107" s="1" t="str">
        <x:v>NGC4314</x:v>
      </x:c>
      <x:c r="B107" s="1" t="str">
        <x:v>Polluted</x:v>
      </x:c>
      <x:c r="C107" s="7" t="n">
        <x:v>185.63338572585988</x:v>
      </x:c>
      <x:c r="D107" s="7" t="n">
        <x:v>29.89543599831607</x:v>
      </x:c>
      <x:c r="E107" s="1" t="str">
        <x:v>12:22:32.01</x:v>
      </x:c>
      <x:c r="F107" s="1" t="str">
        <x:v>+29:53:43.57</x:v>
      </x:c>
      <x:c r="G107" s="1" t="str">
        <x:f>IF(D107&gt;0,"North",IF(D107&lt;0,"South","Equator"))</x:f>
        <x:v>North</x:v>
      </x:c>
      <x:c r="H107" s="8" t="n">
        <x:f>DEGREES(ACOS(MAX(-1,MIN(1,SIN(RADIANS(D107))*SIN(RADIANS('Sources and method'!$B$5))+COS(RADIANS(D107))*COS(RADIANS('Sources and method'!$B$5))*COS(RADIANS(C107-'Sources and method'!$B$4))))))</x:f>
        <x:v>138.80906553548817</x:v>
      </x:c>
      <x:c r="I107" s="1" t="str">
        <x:v>2026-08-29T11:57:14</x:v>
      </x:c>
      <x:c r="J107" s="9" t="str"/>
      <x:c r="K107" s="9" t="str">
        <x:v>all182_cleanliness_decisions.csv</x:v>
      </x:c>
      <x:c r="L107" s="9" t="str">
        <x:v>NGC4314.phot.1.fits</x:v>
      </x:c>
      <x:c r="M107" s="9" t="str">
        <x:v>Polluted</x:v>
      </x:c>
    </x:row>
    <x:row r="108" ht="15" hidden="0" customHeight="1">
      <x:c r="A108" s="1" t="str">
        <x:v>NGC4369</x:v>
      </x:c>
      <x:c r="B108" s="1" t="str">
        <x:v>Polluted</x:v>
      </x:c>
      <x:c r="C108" s="7" t="n">
        <x:v>186.15124568950566</x:v>
      </x:c>
      <x:c r="D108" s="7" t="n">
        <x:v>39.38243708473101</x:v>
      </x:c>
      <x:c r="E108" s="1" t="str">
        <x:v>12:24:36.30</x:v>
      </x:c>
      <x:c r="F108" s="1" t="str">
        <x:v>+39:22:56.77</x:v>
      </x:c>
      <x:c r="G108" s="1" t="str">
        <x:f>IF(D108&gt;0,"North",IF(D108&lt;0,"South","Equator"))</x:f>
        <x:v>North</x:v>
      </x:c>
      <x:c r="H108" s="8" t="n">
        <x:f>DEGREES(ACOS(MAX(-1,MIN(1,SIN(RADIANS(D108))*SIN(RADIANS('Sources and method'!$B$5))+COS(RADIANS(D108))*COS(RADIANS('Sources and method'!$B$5))*COS(RADIANS(C108-'Sources and method'!$B$4))))))</x:f>
        <x:v>141.76384713918463</x:v>
      </x:c>
      <x:c r="I108" s="1" t="str">
        <x:v>2026-08-29T11:54:39</x:v>
      </x:c>
      <x:c r="J108" s="9" t="str"/>
      <x:c r="K108" s="9" t="str">
        <x:v>all182_cleanliness_decisions.csv</x:v>
      </x:c>
      <x:c r="L108" s="9" t="str">
        <x:v>NGC4369.phot.1.fits</x:v>
      </x:c>
      <x:c r="M108" s="9" t="str">
        <x:v>Polluted</x:v>
      </x:c>
    </x:row>
    <x:row r="109" ht="15" hidden="0" customHeight="1">
      <x:c r="A109" s="1" t="str">
        <x:v>NGC4389</x:v>
      </x:c>
      <x:c r="B109" s="1" t="str">
        <x:v>Polluted</x:v>
      </x:c>
      <x:c r="C109" s="7" t="n">
        <x:v>186.3967049163008</x:v>
      </x:c>
      <x:c r="D109" s="7" t="n">
        <x:v>45.684649119074514</x:v>
      </x:c>
      <x:c r="E109" s="1" t="str">
        <x:v>12:25:35.21</x:v>
      </x:c>
      <x:c r="F109" s="1" t="str">
        <x:v>+45:41:04.74</x:v>
      </x:c>
      <x:c r="G109" s="1" t="str">
        <x:f>IF(D109&gt;0,"North",IF(D109&lt;0,"South","Equator"))</x:f>
        <x:v>North</x:v>
      </x:c>
      <x:c r="H109" s="8" t="n">
        <x:f>DEGREES(ACOS(MAX(-1,MIN(1,SIN(RADIANS(D109))*SIN(RADIANS('Sources and method'!$B$5))+COS(RADIANS(D109))*COS(RADIANS('Sources and method'!$B$5))*COS(RADIANS(C109-'Sources and method'!$B$4))))))</x:f>
        <x:v>142.57358844734853</x:v>
      </x:c>
      <x:c r="I109" s="1" t="str">
        <x:v>2026-08-27T19:43:12</x:v>
      </x:c>
      <x:c r="J109" s="9" t="str"/>
      <x:c r="K109" s="9" t="str">
        <x:v>blind_remaining_decisions.csv</x:v>
      </x:c>
      <x:c r="L109" s="9" t="str">
        <x:v>NGC4389.phot.1.fits</x:v>
      </x:c>
      <x:c r="M109" s="9" t="str">
        <x:v>Unreviewed</x:v>
      </x:c>
    </x:row>
    <x:row r="110" ht="15" hidden="0" customHeight="1">
      <x:c r="A110" s="1" t="str">
        <x:v>NGC4405</x:v>
      </x:c>
      <x:c r="B110" s="1" t="str">
        <x:v>Clean</x:v>
      </x:c>
      <x:c r="C110" s="7" t="n">
        <x:v>186.52977582408053</x:v>
      </x:c>
      <x:c r="D110" s="7" t="n">
        <x:v>16.18106791947264</x:v>
      </x:c>
      <x:c r="E110" s="1" t="str">
        <x:v>12:26:07.15</x:v>
      </x:c>
      <x:c r="F110" s="1" t="str">
        <x:v>+16:10:51.84</x:v>
      </x:c>
      <x:c r="G110" s="1" t="str">
        <x:f>IF(D110&gt;0,"North",IF(D110&lt;0,"South","Equator"))</x:f>
        <x:v>North</x:v>
      </x:c>
      <x:c r="H110" s="8" t="n">
        <x:f>DEGREES(ACOS(MAX(-1,MIN(1,SIN(RADIANS(D110))*SIN(RADIANS('Sources and method'!$B$5))+COS(RADIANS(D110))*COS(RADIANS('Sources and method'!$B$5))*COS(RADIANS(C110-'Sources and method'!$B$4))))))</x:f>
        <x:v>133.1722414651489</x:v>
      </x:c>
      <x:c r="I110" s="1" t="str">
        <x:v>2026-08-29T11:54:07</x:v>
      </x:c>
      <x:c r="J110" s="9" t="str"/>
      <x:c r="K110" s="9" t="str">
        <x:v>all182_cleanliness_decisions.csv</x:v>
      </x:c>
      <x:c r="L110" s="9" t="str">
        <x:v>NGC4405.phot.1.fits</x:v>
      </x:c>
      <x:c r="M110" s="9" t="str">
        <x:v>Clean</x:v>
      </x:c>
    </x:row>
    <x:row r="111" ht="15" hidden="0" customHeight="1">
      <x:c r="A111" s="1" t="str">
        <x:v>NGC4424</x:v>
      </x:c>
      <x:c r="B111" s="1" t="str">
        <x:v>Unreviewed</x:v>
      </x:c>
      <x:c r="C111" s="7" t="n">
        <x:v>186.79821361694394</x:v>
      </x:c>
      <x:c r="D111" s="7" t="n">
        <x:v>9.420637078348683</x:v>
      </x:c>
      <x:c r="E111" s="1" t="str">
        <x:v>12:27:11.57</x:v>
      </x:c>
      <x:c r="F111" s="1" t="str">
        <x:v>+09:25:14.29</x:v>
      </x:c>
      <x:c r="G111" s="1" t="str">
        <x:f>IF(D111&gt;0,"North",IF(D111&lt;0,"South","Equator"))</x:f>
        <x:v>North</x:v>
      </x:c>
      <x:c r="H111" s="8" t="n">
        <x:f>DEGREES(ACOS(MAX(-1,MIN(1,SIN(RADIANS(D111))*SIN(RADIANS('Sources and method'!$B$5))+COS(RADIANS(D111))*COS(RADIANS('Sources and method'!$B$5))*COS(RADIANS(C111-'Sources and method'!$B$4))))))</x:f>
        <x:v>129.38368171877536</x:v>
      </x:c>
      <x:c r="I111" s="1" t="str"/>
      <x:c r="J111" s="9" t="str"/>
      <x:c r="K111" s="9" t="str">
        <x:v>No recorded categorical review</x:v>
      </x:c>
      <x:c r="L111" s="9" t="str">
        <x:v>NGC4424.phot.1.fits</x:v>
      </x:c>
      <x:c r="M111" s="9" t="str">
        <x:v>Unreviewed</x:v>
      </x:c>
    </x:row>
    <x:row r="112" ht="15" hidden="0" customHeight="1">
      <x:c r="A112" s="1" t="str">
        <x:v>NGC4449</x:v>
      </x:c>
      <x:c r="B112" s="1" t="str">
        <x:v>Polluted</x:v>
      </x:c>
      <x:c r="C112" s="7" t="n">
        <x:v>187.04634134423216</x:v>
      </x:c>
      <x:c r="D112" s="7" t="n">
        <x:v>44.09361687493065</x:v>
      </x:c>
      <x:c r="E112" s="1" t="str">
        <x:v>12:28:11.12</x:v>
      </x:c>
      <x:c r="F112" s="1" t="str">
        <x:v>+44:05:37.02</x:v>
      </x:c>
      <x:c r="G112" s="1" t="str">
        <x:f>IF(D112&gt;0,"North",IF(D112&lt;0,"South","Equator"))</x:f>
        <x:v>North</x:v>
      </x:c>
      <x:c r="H112" s="8" t="n">
        <x:f>DEGREES(ACOS(MAX(-1,MIN(1,SIN(RADIANS(D112))*SIN(RADIANS('Sources and method'!$B$5))+COS(RADIANS(D112))*COS(RADIANS('Sources and method'!$B$5))*COS(RADIANS(C112-'Sources and method'!$B$4))))))</x:f>
        <x:v>142.96631078487158</x:v>
      </x:c>
      <x:c r="I112" s="1" t="str">
        <x:v>2026-08-27T19:40:53</x:v>
      </x:c>
      <x:c r="J112" s="9" t="str"/>
      <x:c r="K112" s="9" t="str">
        <x:v>blind_remaining_decisions.csv</x:v>
      </x:c>
      <x:c r="L112" s="9" t="str">
        <x:v>NGC4449.phot.1.fits</x:v>
      </x:c>
      <x:c r="M112" s="9" t="str">
        <x:v>Unreviewed</x:v>
      </x:c>
    </x:row>
    <x:row r="113" ht="15" hidden="0" customHeight="1">
      <x:c r="A113" s="1" t="str">
        <x:v>NGC4450</x:v>
      </x:c>
      <x:c r="B113" s="1" t="str">
        <x:v>Clean</x:v>
      </x:c>
      <x:c r="C113" s="7" t="n">
        <x:v>187.12332346306314</x:v>
      </x:c>
      <x:c r="D113" s="7" t="n">
        <x:v>17.084950414139833</x:v>
      </x:c>
      <x:c r="E113" s="1" t="str">
        <x:v>12:28:29.60</x:v>
      </x:c>
      <x:c r="F113" s="1" t="str">
        <x:v>+17:05:05.82</x:v>
      </x:c>
      <x:c r="G113" s="1" t="str">
        <x:f>IF(D113&gt;0,"North",IF(D113&lt;0,"South","Equator"))</x:f>
        <x:v>North</x:v>
      </x:c>
      <x:c r="H113" s="8" t="n">
        <x:f>DEGREES(ACOS(MAX(-1,MIN(1,SIN(RADIANS(D113))*SIN(RADIANS('Sources and method'!$B$5))+COS(RADIANS(D113))*COS(RADIANS('Sources and method'!$B$5))*COS(RADIANS(C113-'Sources and method'!$B$4))))))</x:f>
        <x:v>134.14519264531788</x:v>
      </x:c>
      <x:c r="I113" s="1" t="str">
        <x:v>2026-08-29T11:56:26</x:v>
      </x:c>
      <x:c r="J113" s="9" t="str"/>
      <x:c r="K113" s="9" t="str">
        <x:v>all182_cleanliness_decisions.csv</x:v>
      </x:c>
      <x:c r="L113" s="9" t="str">
        <x:v>NGC4450.phot.1.fits</x:v>
      </x:c>
      <x:c r="M113" s="9" t="str">
        <x:v>Clean</x:v>
      </x:c>
    </x:row>
    <x:row r="114" ht="15" hidden="0" customHeight="1">
      <x:c r="A114" s="1" t="str">
        <x:v>NGC4457</x:v>
      </x:c>
      <x:c r="B114" s="1" t="str">
        <x:v>Polluted</x:v>
      </x:c>
      <x:c r="C114" s="7" t="n">
        <x:v>187.24592713720355</x:v>
      </x:c>
      <x:c r="D114" s="7" t="n">
        <x:v>3.5706195841479254</x:v>
      </x:c>
      <x:c r="E114" s="1" t="str">
        <x:v>12:28:59.02</x:v>
      </x:c>
      <x:c r="F114" s="1" t="str">
        <x:v>+03:34:14.23</x:v>
      </x:c>
      <x:c r="G114" s="1" t="str">
        <x:f>IF(D114&gt;0,"North",IF(D114&lt;0,"South","Equator"))</x:f>
        <x:v>North</x:v>
      </x:c>
      <x:c r="H114" s="8" t="n">
        <x:f>DEGREES(ACOS(MAX(-1,MIN(1,SIN(RADIANS(D114))*SIN(RADIANS('Sources and method'!$B$5))+COS(RADIANS(D114))*COS(RADIANS('Sources and method'!$B$5))*COS(RADIANS(C114-'Sources and method'!$B$4))))))</x:f>
        <x:v>125.92338187792092</x:v>
      </x:c>
      <x:c r="I114" s="1" t="str">
        <x:v>2026-08-29T11:55:54</x:v>
      </x:c>
      <x:c r="J114" s="9" t="str"/>
      <x:c r="K114" s="9" t="str">
        <x:v>all182_cleanliness_decisions.csv</x:v>
      </x:c>
      <x:c r="L114" s="9" t="str">
        <x:v>NGC4457.phot.1.fits</x:v>
      </x:c>
      <x:c r="M114" s="9" t="str">
        <x:v>Polluted</x:v>
      </x:c>
    </x:row>
    <x:row r="115" ht="15" hidden="0" customHeight="1">
      <x:c r="A115" s="1" t="str">
        <x:v>NGC4487</x:v>
      </x:c>
      <x:c r="B115" s="1" t="str">
        <x:v>Unreviewed</x:v>
      </x:c>
      <x:c r="C115" s="7" t="n">
        <x:v>187.76863526981018</x:v>
      </x:c>
      <x:c r="D115" s="7" t="n">
        <x:v>-8.054029577361808</x:v>
      </x:c>
      <x:c r="E115" s="1" t="str">
        <x:v>12:31:04.47</x:v>
      </x:c>
      <x:c r="F115" s="1" t="str">
        <x:v>-08:03:14.51</x:v>
      </x:c>
      <x:c r="G115" s="1" t="str">
        <x:f>IF(D115&gt;0,"North",IF(D115&lt;0,"South","Equator"))</x:f>
        <x:v>South</x:v>
      </x:c>
      <x:c r="H115" s="8" t="n">
        <x:f>DEGREES(ACOS(MAX(-1,MIN(1,SIN(RADIANS(D115))*SIN(RADIANS('Sources and method'!$B$5))+COS(RADIANS(D115))*COS(RADIANS('Sources and method'!$B$5))*COS(RADIANS(C115-'Sources and method'!$B$4))))))</x:f>
        <x:v>118.05635563273366</x:v>
      </x:c>
      <x:c r="I115" s="1" t="str"/>
      <x:c r="J115" s="9" t="str"/>
      <x:c r="K115" s="9" t="str">
        <x:v>No recorded categorical review</x:v>
      </x:c>
      <x:c r="L115" s="9" t="str">
        <x:v>NGC4487.phot.1.fits</x:v>
      </x:c>
      <x:c r="M115" s="9" t="str">
        <x:v>Unreviewed</x:v>
      </x:c>
    </x:row>
    <x:row r="116" ht="15" hidden="0" customHeight="1">
      <x:c r="A116" s="1" t="str">
        <x:v>NGC4496A</x:v>
      </x:c>
      <x:c r="B116" s="1" t="str">
        <x:v>Unreviewed</x:v>
      </x:c>
      <x:c r="C116" s="7" t="n">
        <x:v>187.91357333252796</x:v>
      </x:c>
      <x:c r="D116" s="7" t="n">
        <x:v>3.9396229181044773</x:v>
      </x:c>
      <x:c r="E116" s="1" t="str">
        <x:v>12:31:39.26</x:v>
      </x:c>
      <x:c r="F116" s="1" t="str">
        <x:v>+03:56:22.64</x:v>
      </x:c>
      <x:c r="G116" s="1" t="str">
        <x:f>IF(D116&gt;0,"North",IF(D116&lt;0,"South","Equator"))</x:f>
        <x:v>North</x:v>
      </x:c>
      <x:c r="H116" s="8" t="n">
        <x:f>DEGREES(ACOS(MAX(-1,MIN(1,SIN(RADIANS(D116))*SIN(RADIANS('Sources and method'!$B$5))+COS(RADIANS(D116))*COS(RADIANS('Sources and method'!$B$5))*COS(RADIANS(C116-'Sources and method'!$B$4))))))</x:f>
        <x:v>126.66448864456852</x:v>
      </x:c>
      <x:c r="I116" s="1" t="str"/>
      <x:c r="J116" s="9" t="str"/>
      <x:c r="K116" s="9" t="str">
        <x:v>No recorded categorical review</x:v>
      </x:c>
      <x:c r="L116" s="9" t="str">
        <x:v>NGC4496A.phot.1.fits</x:v>
      </x:c>
      <x:c r="M116" s="9" t="str">
        <x:v>Unreviewed</x:v>
      </x:c>
    </x:row>
    <x:row r="117" ht="15" hidden="0" customHeight="1">
      <x:c r="A117" s="1" t="str">
        <x:v>NGC4498</x:v>
      </x:c>
      <x:c r="B117" s="1" t="str">
        <x:v>Polluted</x:v>
      </x:c>
      <x:c r="C117" s="7" t="n">
        <x:v>187.9146437508749</x:v>
      </x:c>
      <x:c r="D117" s="7" t="n">
        <x:v>16.852735075065887</x:v>
      </x:c>
      <x:c r="E117" s="1" t="str">
        <x:v>12:31:39.51</x:v>
      </x:c>
      <x:c r="F117" s="1" t="str">
        <x:v>+16:51:09.85</x:v>
      </x:c>
      <x:c r="G117" s="1" t="str">
        <x:f>IF(D117&gt;0,"North",IF(D117&lt;0,"South","Equator"))</x:f>
        <x:v>North</x:v>
      </x:c>
      <x:c r="H117" s="8" t="n">
        <x:f>DEGREES(ACOS(MAX(-1,MIN(1,SIN(RADIANS(D117))*SIN(RADIANS('Sources and method'!$B$5))+COS(RADIANS(D117))*COS(RADIANS('Sources and method'!$B$5))*COS(RADIANS(C117-'Sources and method'!$B$4))))))</x:f>
        <x:v>134.6496320213043</x:v>
      </x:c>
      <x:c r="I117" s="1" t="str">
        <x:v>2026-08-27T19:41:51</x:v>
      </x:c>
      <x:c r="J117" s="9" t="str"/>
      <x:c r="K117" s="9" t="str">
        <x:v>blind_remaining_decisions.csv</x:v>
      </x:c>
      <x:c r="L117" s="9" t="str">
        <x:v>NGC4498.phot.1.fits</x:v>
      </x:c>
      <x:c r="M117" s="9" t="str">
        <x:v>Unreviewed</x:v>
      </x:c>
    </x:row>
    <x:row r="118" ht="15" hidden="0" customHeight="1">
      <x:c r="A118" s="1" t="str">
        <x:v>NGC4525</x:v>
      </x:c>
      <x:c r="B118" s="1" t="str">
        <x:v>Ambiguous</x:v>
      </x:c>
      <x:c r="C118" s="7" t="n">
        <x:v>188.4630578946019</x:v>
      </x:c>
      <x:c r="D118" s="7" t="n">
        <x:v>30.277433334688244</x:v>
      </x:c>
      <x:c r="E118" s="1" t="str">
        <x:v>12:33:51.13</x:v>
      </x:c>
      <x:c r="F118" s="1" t="str">
        <x:v>+30:16:38.76</x:v>
      </x:c>
      <x:c r="G118" s="1" t="str">
        <x:f>IF(D118&gt;0,"North",IF(D118&lt;0,"South","Equator"))</x:f>
        <x:v>North</x:v>
      </x:c>
      <x:c r="H118" s="8" t="n">
        <x:f>DEGREES(ACOS(MAX(-1,MIN(1,SIN(RADIANS(D118))*SIN(RADIANS('Sources and method'!$B$5))+COS(RADIANS(D118))*COS(RADIANS('Sources and method'!$B$5))*COS(RADIANS(C118-'Sources and method'!$B$4))))))</x:f>
        <x:v>141.23507113838428</x:v>
      </x:c>
      <x:c r="I118" s="1" t="str">
        <x:v>2026-08-29T11:54:47</x:v>
      </x:c>
      <x:c r="J118" s="9" t="str"/>
      <x:c r="K118" s="9" t="str">
        <x:v>all182_cleanliness_decisions.csv</x:v>
      </x:c>
      <x:c r="L118" s="9" t="str">
        <x:v>NGC4525.phot.1.fits</x:v>
      </x:c>
      <x:c r="M118" s="9" t="str">
        <x:v>Ambiguous</x:v>
      </x:c>
    </x:row>
    <x:row r="119" ht="15" hidden="0" customHeight="1">
      <x:c r="A119" s="1" t="str">
        <x:v>NGC4532</x:v>
      </x:c>
      <x:c r="B119" s="1" t="str">
        <x:v>Polluted</x:v>
      </x:c>
      <x:c r="C119" s="7" t="n">
        <x:v>188.57973324062792</x:v>
      </x:c>
      <x:c r="D119" s="7" t="n">
        <x:v>6.468909187781492</x:v>
      </x:c>
      <x:c r="E119" s="1" t="str">
        <x:v>12:34:19.14</x:v>
      </x:c>
      <x:c r="F119" s="1" t="str">
        <x:v>+06:28:08.07</x:v>
      </x:c>
      <x:c r="G119" s="1" t="str">
        <x:f>IF(D119&gt;0,"North",IF(D119&lt;0,"South","Equator"))</x:f>
        <x:v>North</x:v>
      </x:c>
      <x:c r="H119" s="8" t="n">
        <x:f>DEGREES(ACOS(MAX(-1,MIN(1,SIN(RADIANS(D119))*SIN(RADIANS('Sources and method'!$B$5))+COS(RADIANS(D119))*COS(RADIANS('Sources and method'!$B$5))*COS(RADIANS(C119-'Sources and method'!$B$4))))))</x:f>
        <x:v>128.84384564555845</x:v>
      </x:c>
      <x:c r="I119" s="1" t="str">
        <x:v>2026-08-27T19:42:21</x:v>
      </x:c>
      <x:c r="J119" s="9" t="str"/>
      <x:c r="K119" s="9" t="str">
        <x:v>blind_remaining_decisions.csv</x:v>
      </x:c>
      <x:c r="L119" s="9" t="str">
        <x:v>NGC4532.phot.1.fits</x:v>
      </x:c>
      <x:c r="M119" s="9" t="str">
        <x:v>Unreviewed</x:v>
      </x:c>
    </x:row>
    <x:row r="120" ht="15" hidden="0" customHeight="1">
      <x:c r="A120" s="1" t="str">
        <x:v>NGC4535</x:v>
      </x:c>
      <x:c r="B120" s="1" t="str">
        <x:v>Polluted</x:v>
      </x:c>
      <x:c r="C120" s="7" t="n">
        <x:v>188.58459105656402</x:v>
      </x:c>
      <x:c r="D120" s="7" t="n">
        <x:v>8.197972909449703</x:v>
      </x:c>
      <x:c r="E120" s="1" t="str">
        <x:v>12:34:20.30</x:v>
      </x:c>
      <x:c r="F120" s="1" t="str">
        <x:v>+08:11:52.70</x:v>
      </x:c>
      <x:c r="G120" s="1" t="str">
        <x:f>IF(D120&gt;0,"North",IF(D120&lt;0,"South","Equator"))</x:f>
        <x:v>North</x:v>
      </x:c>
      <x:c r="H120" s="8" t="n">
        <x:f>DEGREES(ACOS(MAX(-1,MIN(1,SIN(RADIANS(D120))*SIN(RADIANS('Sources and method'!$B$5))+COS(RADIANS(D120))*COS(RADIANS('Sources and method'!$B$5))*COS(RADIANS(C120-'Sources and method'!$B$4))))))</x:f>
        <x:v>129.97330134758468</x:v>
      </x:c>
      <x:c r="I120" s="1" t="str">
        <x:v>2026-08-27T19:40:13</x:v>
      </x:c>
      <x:c r="J120" s="9" t="str"/>
      <x:c r="K120" s="9" t="str">
        <x:v>blind_remaining_decisions.csv</x:v>
      </x:c>
      <x:c r="L120" s="9" t="str">
        <x:v>NGC4535.phot.1.fits</x:v>
      </x:c>
      <x:c r="M120" s="9" t="str">
        <x:v>Unreviewed</x:v>
      </x:c>
    </x:row>
    <x:row r="121" ht="15" hidden="0" customHeight="1">
      <x:c r="A121" s="1" t="str">
        <x:v>NGC4540</x:v>
      </x:c>
      <x:c r="B121" s="1" t="str">
        <x:v>Polluted</x:v>
      </x:c>
      <x:c r="C121" s="7" t="n">
        <x:v>188.71193375083615</x:v>
      </x:c>
      <x:c r="D121" s="7" t="n">
        <x:v>15.551724163800062</x:v>
      </x:c>
      <x:c r="E121" s="1" t="str">
        <x:v>12:34:50.86</x:v>
      </x:c>
      <x:c r="F121" s="1" t="str">
        <x:v>+15:33:06.21</x:v>
      </x:c>
      <x:c r="G121" s="1" t="str">
        <x:f>IF(D121&gt;0,"North",IF(D121&lt;0,"South","Equator"))</x:f>
        <x:v>North</x:v>
      </x:c>
      <x:c r="H121" s="8" t="n">
        <x:f>DEGREES(ACOS(MAX(-1,MIN(1,SIN(RADIANS(D121))*SIN(RADIANS('Sources and method'!$B$5))+COS(RADIANS(D121))*COS(RADIANS('Sources and method'!$B$5))*COS(RADIANS(C121-'Sources and method'!$B$4))))))</x:f>
        <x:v>134.552159216494</x:v>
      </x:c>
      <x:c r="I121" s="1" t="str">
        <x:v>2026-08-27T19:40:17</x:v>
      </x:c>
      <x:c r="J121" s="9" t="str"/>
      <x:c r="K121" s="9" t="str">
        <x:v>blind_remaining_decisions.csv</x:v>
      </x:c>
      <x:c r="L121" s="9" t="str">
        <x:v>NGC4540.phot.1.fits</x:v>
      </x:c>
      <x:c r="M121" s="9" t="str">
        <x:v>Unreviewed</x:v>
      </x:c>
    </x:row>
    <x:row r="122" ht="15" hidden="0" customHeight="1">
      <x:c r="A122" s="1" t="str">
        <x:v>NGC4559</x:v>
      </x:c>
      <x:c r="B122" s="1" t="str">
        <x:v>Polluted</x:v>
      </x:c>
      <x:c r="C122" s="7" t="n">
        <x:v>188.9901947985288</x:v>
      </x:c>
      <x:c r="D122" s="7" t="n">
        <x:v>27.95994582134943</x:v>
      </x:c>
      <x:c r="E122" s="1" t="str">
        <x:v>12:35:57.65</x:v>
      </x:c>
      <x:c r="F122" s="1" t="str">
        <x:v>+27:57:35.80</x:v>
      </x:c>
      <x:c r="G122" s="1" t="str">
        <x:f>IF(D122&gt;0,"North",IF(D122&lt;0,"South","Equator"))</x:f>
        <x:v>North</x:v>
      </x:c>
      <x:c r="H122" s="8" t="n">
        <x:f>DEGREES(ACOS(MAX(-1,MIN(1,SIN(RADIANS(D122))*SIN(RADIANS('Sources and method'!$B$5))+COS(RADIANS(D122))*COS(RADIANS('Sources and method'!$B$5))*COS(RADIANS(C122-'Sources and method'!$B$4))))))</x:f>
        <x:v>140.8129014314411</x:v>
      </x:c>
      <x:c r="I122" s="1" t="str">
        <x:v>2026-08-29T11:54:18</x:v>
      </x:c>
      <x:c r="J122" s="9" t="str"/>
      <x:c r="K122" s="9" t="str">
        <x:v>all182_cleanliness_decisions.csv</x:v>
      </x:c>
      <x:c r="L122" s="9" t="str">
        <x:v>NGC4559.phot.1.fits</x:v>
      </x:c>
      <x:c r="M122" s="9" t="str">
        <x:v>Polluted</x:v>
      </x:c>
    </x:row>
    <x:row r="123" ht="15" hidden="0" customHeight="1">
      <x:c r="A123" s="1" t="str">
        <x:v>NGC4579</x:v>
      </x:c>
      <x:c r="B123" s="1" t="str">
        <x:v>Clean</x:v>
      </x:c>
      <x:c r="C123" s="7" t="n">
        <x:v>189.43138164675662</x:v>
      </x:c>
      <x:c r="D123" s="7" t="n">
        <x:v>11.818216726553223</x:v>
      </x:c>
      <x:c r="E123" s="1" t="str">
        <x:v>12:37:43.53</x:v>
      </x:c>
      <x:c r="F123" s="1" t="str">
        <x:v>+11:49:05.58</x:v>
      </x:c>
      <x:c r="G123" s="1" t="str">
        <x:f>IF(D123&gt;0,"North",IF(D123&lt;0,"South","Equator"))</x:f>
        <x:v>North</x:v>
      </x:c>
      <x:c r="H123" s="8" t="n">
        <x:f>DEGREES(ACOS(MAX(-1,MIN(1,SIN(RADIANS(D123))*SIN(RADIANS('Sources and method'!$B$5))+COS(RADIANS(D123))*COS(RADIANS('Sources and method'!$B$5))*COS(RADIANS(C123-'Sources and method'!$B$4))))))</x:f>
        <x:v>132.90049264536577</x:v>
      </x:c>
      <x:c r="I123" s="1" t="str">
        <x:v>2026-08-29T11:54:21</x:v>
      </x:c>
      <x:c r="J123" s="9" t="str"/>
      <x:c r="K123" s="9" t="str">
        <x:v>all182_cleanliness_decisions.csv</x:v>
      </x:c>
      <x:c r="L123" s="9" t="str">
        <x:v>NGC4579.phot.1.fits</x:v>
      </x:c>
      <x:c r="M123" s="9" t="str">
        <x:v>Clean</x:v>
      </x:c>
    </x:row>
    <x:row r="124" ht="15" hidden="0" customHeight="1">
      <x:c r="A124" s="1" t="str">
        <x:v>NGC4618</x:v>
      </x:c>
      <x:c r="B124" s="1" t="str">
        <x:v>Polluted</x:v>
      </x:c>
      <x:c r="C124" s="7" t="n">
        <x:v>190.38708697339692</x:v>
      </x:c>
      <x:c r="D124" s="7" t="n">
        <x:v>41.15083915899129</x:v>
      </x:c>
      <x:c r="E124" s="1" t="str">
        <x:v>12:41:32.90</x:v>
      </x:c>
      <x:c r="F124" s="1" t="str">
        <x:v>+41:09:03.02</x:v>
      </x:c>
      <x:c r="G124" s="1" t="str">
        <x:f>IF(D124&gt;0,"North",IF(D124&lt;0,"South","Equator"))</x:f>
        <x:v>North</x:v>
      </x:c>
      <x:c r="H124" s="8" t="n">
        <x:f>DEGREES(ACOS(MAX(-1,MIN(1,SIN(RADIANS(D124))*SIN(RADIANS('Sources and method'!$B$5))+COS(RADIANS(D124))*COS(RADIANS('Sources and method'!$B$5))*COS(RADIANS(C124-'Sources and method'!$B$4))))))</x:f>
        <x:v>145.2007992839999</x:v>
      </x:c>
      <x:c r="I124" s="1" t="str">
        <x:v>2026-08-29T11:55:11</x:v>
      </x:c>
      <x:c r="J124" s="9" t="str"/>
      <x:c r="K124" s="9" t="str">
        <x:v>all182_cleanliness_decisions.csv</x:v>
      </x:c>
      <x:c r="L124" s="9" t="str">
        <x:v>NGC4618.phot.1.fits</x:v>
      </x:c>
      <x:c r="M124" s="9" t="str">
        <x:v>Polluted</x:v>
      </x:c>
    </x:row>
    <x:row r="125" ht="15" hidden="0" customHeight="1">
      <x:c r="A125" s="1" t="str">
        <x:v>NGC4625</x:v>
      </x:c>
      <x:c r="B125" s="1" t="str">
        <x:v>Ambiguous</x:v>
      </x:c>
      <x:c r="C125" s="7" t="n">
        <x:v>190.46967227837578</x:v>
      </x:c>
      <x:c r="D125" s="7" t="n">
        <x:v>41.2738608282454</x:v>
      </x:c>
      <x:c r="E125" s="1" t="str">
        <x:v>12:41:52.72</x:v>
      </x:c>
      <x:c r="F125" s="1" t="str">
        <x:v>+41:16:25.90</x:v>
      </x:c>
      <x:c r="G125" s="1" t="str">
        <x:f>IF(D125&gt;0,"North",IF(D125&lt;0,"South","Equator"))</x:f>
        <x:v>North</x:v>
      </x:c>
      <x:c r="H125" s="8" t="n">
        <x:f>DEGREES(ACOS(MAX(-1,MIN(1,SIN(RADIANS(D125))*SIN(RADIANS('Sources and method'!$B$5))+COS(RADIANS(D125))*COS(RADIANS('Sources and method'!$B$5))*COS(RADIANS(C125-'Sources and method'!$B$4))))))</x:f>
        <x:v>145.2737835848245</x:v>
      </x:c>
      <x:c r="I125" s="1" t="str">
        <x:v>2026-09-02T17:41:46</x:v>
      </x:c>
      <x:c r="J125" s="9" t="str"/>
      <x:c r="K125" s="9" t="str">
        <x:v>all182_cleanliness_decisions.csv</x:v>
      </x:c>
      <x:c r="L125" s="9" t="str">
        <x:v>NGC4625.phot.1.fits</x:v>
      </x:c>
      <x:c r="M125" s="9" t="str">
        <x:v>Ambiguous</x:v>
      </x:c>
    </x:row>
    <x:row r="126" ht="15" hidden="0" customHeight="1">
      <x:c r="A126" s="1" t="str">
        <x:v>NGC4639</x:v>
      </x:c>
      <x:c r="B126" s="1" t="str">
        <x:v>Clean</x:v>
      </x:c>
      <x:c r="C126" s="7" t="n">
        <x:v>190.7183336334072</x:v>
      </x:c>
      <x:c r="D126" s="7" t="n">
        <x:v>13.257447566977614</x:v>
      </x:c>
      <x:c r="E126" s="1" t="str">
        <x:v>12:42:52.40</x:v>
      </x:c>
      <x:c r="F126" s="1" t="str">
        <x:v>+13:15:26.81</x:v>
      </x:c>
      <x:c r="G126" s="1" t="str">
        <x:f>IF(D126&gt;0,"North",IF(D126&lt;0,"South","Equator"))</x:f>
        <x:v>North</x:v>
      </x:c>
      <x:c r="H126" s="8" t="n">
        <x:f>DEGREES(ACOS(MAX(-1,MIN(1,SIN(RADIANS(D126))*SIN(RADIANS('Sources and method'!$B$5))+COS(RADIANS(D126))*COS(RADIANS('Sources and method'!$B$5))*COS(RADIANS(C126-'Sources and method'!$B$4))))))</x:f>
        <x:v>134.77392394034027</x:v>
      </x:c>
      <x:c r="I126" s="1" t="str">
        <x:v>2026-08-29T11:55:09</x:v>
      </x:c>
      <x:c r="J126" s="9" t="str"/>
      <x:c r="K126" s="9" t="str">
        <x:v>all182_cleanliness_decisions.csv</x:v>
      </x:c>
      <x:c r="L126" s="9" t="str">
        <x:v>NGC4639.phot.1.fits</x:v>
      </x:c>
      <x:c r="M126" s="9" t="str">
        <x:v>Clean</x:v>
      </x:c>
    </x:row>
    <x:row r="127" ht="15" hidden="0" customHeight="1">
      <x:c r="A127" s="1" t="str">
        <x:v>NGC4654</x:v>
      </x:c>
      <x:c r="B127" s="1" t="str">
        <x:v>Unreviewed</x:v>
      </x:c>
      <x:c r="C127" s="7" t="n">
        <x:v>190.98574920453862</x:v>
      </x:c>
      <x:c r="D127" s="7" t="n">
        <x:v>13.12671541729586</x:v>
      </x:c>
      <x:c r="E127" s="1" t="str">
        <x:v>12:43:56.58</x:v>
      </x:c>
      <x:c r="F127" s="1" t="str">
        <x:v>+13:07:36.18</x:v>
      </x:c>
      <x:c r="G127" s="1" t="str">
        <x:f>IF(D127&gt;0,"North",IF(D127&lt;0,"South","Equator"))</x:f>
        <x:v>North</x:v>
      </x:c>
      <x:c r="H127" s="8" t="n">
        <x:f>DEGREES(ACOS(MAX(-1,MIN(1,SIN(RADIANS(D127))*SIN(RADIANS('Sources and method'!$B$5))+COS(RADIANS(D127))*COS(RADIANS('Sources and method'!$B$5))*COS(RADIANS(C127-'Sources and method'!$B$4))))))</x:f>
        <x:v>134.9014675297586</x:v>
      </x:c>
      <x:c r="I127" s="1" t="str"/>
      <x:c r="J127" s="9" t="str"/>
      <x:c r="K127" s="9" t="str">
        <x:v>No recorded categorical review</x:v>
      </x:c>
      <x:c r="L127" s="9" t="str">
        <x:v>NGC4654.phot.1.fits</x:v>
      </x:c>
      <x:c r="M127" s="9" t="str">
        <x:v>Unreviewed</x:v>
      </x:c>
    </x:row>
    <x:row r="128" ht="15" hidden="0" customHeight="1">
      <x:c r="A128" s="1" t="str">
        <x:v>NGC4668</x:v>
      </x:c>
      <x:c r="B128" s="1" t="str">
        <x:v>Unreviewed</x:v>
      </x:c>
      <x:c r="C128" s="7" t="n">
        <x:v>191.38333542259315</x:v>
      </x:c>
      <x:c r="D128" s="7" t="n">
        <x:v>-0.535734169040768</x:v>
      </x:c>
      <x:c r="E128" s="1" t="str">
        <x:v>12:45:32.00</x:v>
      </x:c>
      <x:c r="F128" s="1" t="str">
        <x:v>-00:32:08.64</x:v>
      </x:c>
      <x:c r="G128" s="1" t="str">
        <x:f>IF(D128&gt;0,"North",IF(D128&lt;0,"South","Equator"))</x:f>
        <x:v>South</x:v>
      </x:c>
      <x:c r="H128" s="8" t="n">
        <x:f>DEGREES(ACOS(MAX(-1,MIN(1,SIN(RADIANS(D128))*SIN(RADIANS('Sources and method'!$B$5))+COS(RADIANS(D128))*COS(RADIANS('Sources and method'!$B$5))*COS(RADIANS(C128-'Sources and method'!$B$4))))))</x:f>
        <x:v>126.01597913458916</x:v>
      </x:c>
      <x:c r="I128" s="1" t="str"/>
      <x:c r="J128" s="9" t="str"/>
      <x:c r="K128" s="9" t="str">
        <x:v>No recorded categorical review</x:v>
      </x:c>
      <x:c r="L128" s="9" t="str">
        <x:v>NGC4668.phot.1.fits</x:v>
      </x:c>
      <x:c r="M128" s="9" t="str">
        <x:v>Unreviewed</x:v>
      </x:c>
    </x:row>
    <x:row r="129" ht="15" hidden="0" customHeight="1">
      <x:c r="A129" s="1" t="str">
        <x:v>NGC4713</x:v>
      </x:c>
      <x:c r="B129" s="1" t="str">
        <x:v>Unreviewed</x:v>
      </x:c>
      <x:c r="C129" s="7" t="n">
        <x:v>192.49117741537134</x:v>
      </x:c>
      <x:c r="D129" s="7" t="n">
        <x:v>5.311357914669722</x:v>
      </x:c>
      <x:c r="E129" s="1" t="str">
        <x:v>12:49:57.88</x:v>
      </x:c>
      <x:c r="F129" s="1" t="str">
        <x:v>+05:18:40.89</x:v>
      </x:c>
      <x:c r="G129" s="1" t="str">
        <x:f>IF(D129&gt;0,"North",IF(D129&lt;0,"South","Equator"))</x:f>
        <x:v>North</x:v>
      </x:c>
      <x:c r="H129" s="8" t="n">
        <x:f>DEGREES(ACOS(MAX(-1,MIN(1,SIN(RADIANS(D129))*SIN(RADIANS('Sources and method'!$B$5))+COS(RADIANS(D129))*COS(RADIANS('Sources and method'!$B$5))*COS(RADIANS(C129-'Sources and method'!$B$4))))))</x:f>
        <x:v>130.9373900854614</x:v>
      </x:c>
      <x:c r="I129" s="1" t="str"/>
      <x:c r="J129" s="9" t="str"/>
      <x:c r="K129" s="9" t="str">
        <x:v>No recorded categorical review</x:v>
      </x:c>
      <x:c r="L129" s="9" t="str">
        <x:v>NGC4713.phot.1.fits</x:v>
      </x:c>
      <x:c r="M129" s="9" t="str">
        <x:v>Unreviewed</x:v>
      </x:c>
    </x:row>
    <x:row r="130" ht="15" hidden="0" customHeight="1">
      <x:c r="A130" s="1" t="str">
        <x:v>NGC4725</x:v>
      </x:c>
      <x:c r="B130" s="1" t="str">
        <x:v>Unreviewed</x:v>
      </x:c>
      <x:c r="C130" s="7" t="n">
        <x:v>192.61072841391183</x:v>
      </x:c>
      <x:c r="D130" s="7" t="n">
        <x:v>25.50071043021673</x:v>
      </x:c>
      <x:c r="E130" s="1" t="str">
        <x:v>12:50:26.57</x:v>
      </x:c>
      <x:c r="F130" s="1" t="str">
        <x:v>+25:30:02.56</x:v>
      </x:c>
      <x:c r="G130" s="1" t="str">
        <x:f>IF(D130&gt;0,"North",IF(D130&lt;0,"South","Equator"))</x:f>
        <x:v>North</x:v>
      </x:c>
      <x:c r="H130" s="8" t="n">
        <x:f>DEGREES(ACOS(MAX(-1,MIN(1,SIN(RADIANS(D130))*SIN(RADIANS('Sources and method'!$B$5))+COS(RADIANS(D130))*COS(RADIANS('Sources and method'!$B$5))*COS(RADIANS(C130-'Sources and method'!$B$4))))))</x:f>
        <x:v>142.7512403666987</x:v>
      </x:c>
      <x:c r="I130" s="1" t="str"/>
      <x:c r="J130" s="9" t="str"/>
      <x:c r="K130" s="9" t="str">
        <x:v>No recorded categorical review</x:v>
      </x:c>
      <x:c r="L130" s="9" t="str">
        <x:v>NGC4725.phot.1.fits</x:v>
      </x:c>
      <x:c r="M130" s="9" t="str">
        <x:v>Unreviewed</x:v>
      </x:c>
    </x:row>
    <x:row r="131" ht="15" hidden="0" customHeight="1">
      <x:c r="A131" s="1" t="str">
        <x:v>NGC4765</x:v>
      </x:c>
      <x:c r="B131" s="1" t="str">
        <x:v>Clean</x:v>
      </x:c>
      <x:c r="C131" s="7" t="n">
        <x:v>193.3106475224239</x:v>
      </x:c>
      <x:c r="D131" s="7" t="n">
        <x:v>4.463283331022321</x:v>
      </x:c>
      <x:c r="E131" s="1" t="str">
        <x:v>12:53:14.56</x:v>
      </x:c>
      <x:c r="F131" s="1" t="str">
        <x:v>+04:27:47.82</x:v>
      </x:c>
      <x:c r="G131" s="1" t="str">
        <x:f>IF(D131&gt;0,"North",IF(D131&lt;0,"South","Equator"))</x:f>
        <x:v>North</x:v>
      </x:c>
      <x:c r="H131" s="8" t="n">
        <x:f>DEGREES(ACOS(MAX(-1,MIN(1,SIN(RADIANS(D131))*SIN(RADIANS('Sources and method'!$B$5))+COS(RADIANS(D131))*COS(RADIANS('Sources and method'!$B$5))*COS(RADIANS(C131-'Sources and method'!$B$4))))))</x:f>
        <x:v>130.93270260557327</x:v>
      </x:c>
      <x:c r="I131" s="1" t="str">
        <x:v>2026-09-02T17:41:41</x:v>
      </x:c>
      <x:c r="J131" s="9" t="str"/>
      <x:c r="K131" s="9" t="str">
        <x:v>all182_cleanliness_decisions.csv</x:v>
      </x:c>
      <x:c r="L131" s="9" t="str">
        <x:v>NGC4765.phot.1.fits</x:v>
      </x:c>
      <x:c r="M131" s="9" t="str">
        <x:v>Clean</x:v>
      </x:c>
    </x:row>
    <x:row r="132" ht="15" hidden="0" customHeight="1">
      <x:c r="A132" s="1" t="str">
        <x:v>NGC4781</x:v>
      </x:c>
      <x:c r="B132" s="1" t="str">
        <x:v>Ambiguous</x:v>
      </x:c>
      <x:c r="C132" s="7" t="n">
        <x:v>193.59916504146705</x:v>
      </x:c>
      <x:c r="D132" s="7" t="n">
        <x:v>-10.537115893618248</x:v>
      </x:c>
      <x:c r="E132" s="1" t="str">
        <x:v>12:54:23.80</x:v>
      </x:c>
      <x:c r="F132" s="1" t="str">
        <x:v>-10:32:13.62</x:v>
      </x:c>
      <x:c r="G132" s="1" t="str">
        <x:f>IF(D132&gt;0,"North",IF(D132&lt;0,"South","Equator"))</x:f>
        <x:v>South</x:v>
      </x:c>
      <x:c r="H132" s="8" t="n">
        <x:f>DEGREES(ACOS(MAX(-1,MIN(1,SIN(RADIANS(D132))*SIN(RADIANS('Sources and method'!$B$5))+COS(RADIANS(D132))*COS(RADIANS('Sources and method'!$B$5))*COS(RADIANS(C132-'Sources and method'!$B$4))))))</x:f>
        <x:v>119.878429782376</x:v>
      </x:c>
      <x:c r="I132" s="1" t="str">
        <x:v>2026-08-29T11:54:34</x:v>
      </x:c>
      <x:c r="J132" s="9" t="str"/>
      <x:c r="K132" s="9" t="str">
        <x:v>all182_cleanliness_decisions.csv</x:v>
      </x:c>
      <x:c r="L132" s="9" t="str">
        <x:v>NGC4781.phot.1.fits</x:v>
      </x:c>
      <x:c r="M132" s="9" t="str">
        <x:v>Ambiguous</x:v>
      </x:c>
    </x:row>
    <x:row r="133" ht="15" hidden="0" customHeight="1">
      <x:c r="A133" s="1" t="str">
        <x:v>NGC4900</x:v>
      </x:c>
      <x:c r="B133" s="1" t="str">
        <x:v>Unreviewed</x:v>
      </x:c>
      <x:c r="C133" s="7" t="n">
        <x:v>195.16307861864735</x:v>
      </x:c>
      <x:c r="D133" s="7" t="n">
        <x:v>2.5013537598094024</x:v>
      </x:c>
      <x:c r="E133" s="1" t="str">
        <x:v>13:00:39.14</x:v>
      </x:c>
      <x:c r="F133" s="1" t="str">
        <x:v>+02:30:04.87</x:v>
      </x:c>
      <x:c r="G133" s="1" t="str">
        <x:f>IF(D133&gt;0,"North",IF(D133&lt;0,"South","Equator"))</x:f>
        <x:v>North</x:v>
      </x:c>
      <x:c r="H133" s="8" t="n">
        <x:f>DEGREES(ACOS(MAX(-1,MIN(1,SIN(RADIANS(D133))*SIN(RADIANS('Sources and method'!$B$5))+COS(RADIANS(D133))*COS(RADIANS('Sources and method'!$B$5))*COS(RADIANS(C133-'Sources and method'!$B$4))))))</x:f>
        <x:v>130.81880943857539</x:v>
      </x:c>
      <x:c r="I133" s="1" t="str"/>
      <x:c r="J133" s="9" t="str"/>
      <x:c r="K133" s="9" t="str">
        <x:v>No recorded categorical review</x:v>
      </x:c>
      <x:c r="L133" s="9" t="str">
        <x:v>NGC4900.phot.1.fits</x:v>
      </x:c>
      <x:c r="M133" s="9" t="str">
        <x:v>Unreviewed</x:v>
      </x:c>
    </x:row>
    <x:row r="134" ht="15" hidden="0" customHeight="1">
      <x:c r="A134" s="1" t="str">
        <x:v>NGC4981</x:v>
      </x:c>
      <x:c r="B134" s="1" t="str">
        <x:v>Clean</x:v>
      </x:c>
      <x:c r="C134" s="7" t="n">
        <x:v>197.20315067151796</x:v>
      </x:c>
      <x:c r="D134" s="7" t="n">
        <x:v>-6.7775382956990144</x:v>
      </x:c>
      <x:c r="E134" s="1" t="str">
        <x:v>13:08:48.76</x:v>
      </x:c>
      <x:c r="F134" s="1" t="str">
        <x:v>-06:46:39.14</x:v>
      </x:c>
      <x:c r="G134" s="1" t="str">
        <x:f>IF(D134&gt;0,"North",IF(D134&lt;0,"South","Equator"))</x:f>
        <x:v>South</x:v>
      </x:c>
      <x:c r="H134" s="8" t="n">
        <x:f>DEGREES(ACOS(MAX(-1,MIN(1,SIN(RADIANS(D134))*SIN(RADIANS('Sources and method'!$B$5))+COS(RADIANS(D134))*COS(RADIANS('Sources and method'!$B$5))*COS(RADIANS(C134-'Sources and method'!$B$4))))))</x:f>
        <x:v>125.03073947432253</x:v>
      </x:c>
      <x:c r="I134" s="1" t="str">
        <x:v>2026-08-29T11:55:17</x:v>
      </x:c>
      <x:c r="J134" s="9" t="str"/>
      <x:c r="K134" s="9" t="str">
        <x:v>all182_cleanliness_decisions.csv</x:v>
      </x:c>
      <x:c r="L134" s="9" t="str">
        <x:v>NGC4981.phot.1.fits</x:v>
      </x:c>
      <x:c r="M134" s="9" t="str">
        <x:v>Clean</x:v>
      </x:c>
    </x:row>
    <x:row r="135" ht="15" hidden="0" customHeight="1">
      <x:c r="A135" s="1" t="str">
        <x:v>NGC5042</x:v>
      </x:c>
      <x:c r="B135" s="1" t="str">
        <x:v>Polluted</x:v>
      </x:c>
      <x:c r="C135" s="7" t="n">
        <x:v>198.8792001541531</x:v>
      </x:c>
      <x:c r="D135" s="7" t="n">
        <x:v>-23.983883290100632</x:v>
      </x:c>
      <x:c r="E135" s="1" t="str">
        <x:v>13:15:31.01</x:v>
      </x:c>
      <x:c r="F135" s="1" t="str">
        <x:v>-23:59:01.98</x:v>
      </x:c>
      <x:c r="G135" s="1" t="str">
        <x:f>IF(D135&gt;0,"North",IF(D135&lt;0,"South","Equator"))</x:f>
        <x:v>South</x:v>
      </x:c>
      <x:c r="H135" s="8" t="n">
        <x:f>DEGREES(ACOS(MAX(-1,MIN(1,SIN(RADIANS(D135))*SIN(RADIANS('Sources and method'!$B$5))+COS(RADIANS(D135))*COS(RADIANS('Sources and method'!$B$5))*COS(RADIANS(C135-'Sources and method'!$B$4))))))</x:f>
        <x:v>111.61329047083795</x:v>
      </x:c>
      <x:c r="I135" s="1" t="str">
        <x:v>2026-08-27T19:39:38</x:v>
      </x:c>
      <x:c r="J135" s="9" t="str"/>
      <x:c r="K135" s="9" t="str">
        <x:v>blind_remaining_decisions.csv</x:v>
      </x:c>
      <x:c r="L135" s="9" t="str">
        <x:v>NGC5042.phot.1.fits</x:v>
      </x:c>
      <x:c r="M135" s="9" t="str">
        <x:v>Unreviewed</x:v>
      </x:c>
    </x:row>
    <x:row r="136" ht="15" hidden="0" customHeight="1">
      <x:c r="A136" s="1" t="str">
        <x:v>NGC5068</x:v>
      </x:c>
      <x:c r="B136" s="1" t="str">
        <x:v>Polluted</x:v>
      </x:c>
      <x:c r="C136" s="7" t="n">
        <x:v>199.7280802849591</x:v>
      </x:c>
      <x:c r="D136" s="7" t="n">
        <x:v>-21.038743801448796</x:v>
      </x:c>
      <x:c r="E136" s="1" t="str">
        <x:v>13:18:54.74</x:v>
      </x:c>
      <x:c r="F136" s="1" t="str">
        <x:v>-21:02:19.48</x:v>
      </x:c>
      <x:c r="G136" s="1" t="str">
        <x:f>IF(D136&gt;0,"North",IF(D136&lt;0,"South","Equator"))</x:f>
        <x:v>South</x:v>
      </x:c>
      <x:c r="H136" s="8" t="n">
        <x:f>DEGREES(ACOS(MAX(-1,MIN(1,SIN(RADIANS(D136))*SIN(RADIANS('Sources and method'!$B$5))+COS(RADIANS(D136))*COS(RADIANS('Sources and method'!$B$5))*COS(RADIANS(C136-'Sources and method'!$B$4))))))</x:f>
        <x:v>114.54463317147842</x:v>
      </x:c>
      <x:c r="I136" s="1" t="str">
        <x:v>2026-08-27T19:42:16</x:v>
      </x:c>
      <x:c r="J136" s="9" t="str"/>
      <x:c r="K136" s="9" t="str">
        <x:v>blind_remaining_decisions.csv</x:v>
      </x:c>
      <x:c r="L136" s="9" t="str">
        <x:v>NGC5068.phot.1.fits</x:v>
      </x:c>
      <x:c r="M136" s="9" t="str">
        <x:v>Unreviewed</x:v>
      </x:c>
    </x:row>
    <x:row r="137" ht="15" hidden="0" customHeight="1">
      <x:c r="A137" s="1" t="str">
        <x:v>NGC5134</x:v>
      </x:c>
      <x:c r="B137" s="1" t="str">
        <x:v>Polluted</x:v>
      </x:c>
      <x:c r="C137" s="7" t="n">
        <x:v>201.3272564301622</x:v>
      </x:c>
      <x:c r="D137" s="7" t="n">
        <x:v>-21.134195374298596</x:v>
      </x:c>
      <x:c r="E137" s="1" t="str">
        <x:v>13:25:18.54</x:v>
      </x:c>
      <x:c r="F137" s="1" t="str">
        <x:v>-21:08:03.10</x:v>
      </x:c>
      <x:c r="G137" s="1" t="str">
        <x:f>IF(D137&gt;0,"North",IF(D137&lt;0,"South","Equator"))</x:f>
        <x:v>South</x:v>
      </x:c>
      <x:c r="H137" s="8" t="n">
        <x:f>DEGREES(ACOS(MAX(-1,MIN(1,SIN(RADIANS(D137))*SIN(RADIANS('Sources and method'!$B$5))+COS(RADIANS(D137))*COS(RADIANS('Sources and method'!$B$5))*COS(RADIANS(C137-'Sources and method'!$B$4))))))</x:f>
        <x:v>115.21316721249904</x:v>
      </x:c>
      <x:c r="I137" s="1" t="str">
        <x:v>2026-08-27T19:42:41</x:v>
      </x:c>
      <x:c r="J137" s="9" t="str"/>
      <x:c r="K137" s="9" t="str">
        <x:v>blind_remaining_decisions.csv</x:v>
      </x:c>
      <x:c r="L137" s="9" t="str">
        <x:v>NGC5134.phot.1.fits</x:v>
      </x:c>
      <x:c r="M137" s="9" t="str">
        <x:v>Unreviewed</x:v>
      </x:c>
    </x:row>
    <x:row r="138" ht="15" hidden="0" customHeight="1">
      <x:c r="A138" s="1" t="str">
        <x:v>NGC5236</x:v>
      </x:c>
      <x:c r="B138" s="1" t="str">
        <x:v>Unreviewed</x:v>
      </x:c>
      <x:c r="C138" s="7" t="n">
        <x:v>204.25239397092736</x:v>
      </x:c>
      <x:c r="D138" s="7" t="n">
        <x:v>-29.86571872285243</x:v>
      </x:c>
      <x:c r="E138" s="1" t="str">
        <x:v>13:37:00.57</x:v>
      </x:c>
      <x:c r="F138" s="1" t="str">
        <x:v>-29:51:56.59</x:v>
      </x:c>
      <x:c r="G138" s="1" t="str">
        <x:f>IF(D138&gt;0,"North",IF(D138&lt;0,"South","Equator"))</x:f>
        <x:v>South</x:v>
      </x:c>
      <x:c r="H138" s="8" t="n">
        <x:f>DEGREES(ACOS(MAX(-1,MIN(1,SIN(RADIANS(D138))*SIN(RADIANS('Sources and method'!$B$5))+COS(RADIANS(D138))*COS(RADIANS('Sources and method'!$B$5))*COS(RADIANS(C138-'Sources and method'!$B$4))))))</x:f>
        <x:v>108.70383087647306</x:v>
      </x:c>
      <x:c r="I138" s="1" t="str"/>
      <x:c r="J138" s="9" t="str"/>
      <x:c r="K138" s="9" t="str">
        <x:v>No recorded categorical review</x:v>
      </x:c>
      <x:c r="L138" s="9" t="str">
        <x:v>NGC5236.phot.1.fits</x:v>
      </x:c>
      <x:c r="M138" s="9" t="str">
        <x:v>Unreviewed</x:v>
      </x:c>
    </x:row>
    <x:row r="139" ht="15" hidden="0" customHeight="1">
      <x:c r="A139" s="1" t="str">
        <x:v>NGC5569</x:v>
      </x:c>
      <x:c r="B139" s="1" t="str">
        <x:v>Polluted</x:v>
      </x:c>
      <x:c r="C139" s="7" t="n">
        <x:v>215.1336184328358</x:v>
      </x:c>
      <x:c r="D139" s="7" t="n">
        <x:v>3.9831929134832866</x:v>
      </x:c>
      <x:c r="E139" s="1" t="str">
        <x:v>14:20:32.07</x:v>
      </x:c>
      <x:c r="F139" s="1" t="str">
        <x:v>+03:58:59.49</x:v>
      </x:c>
      <x:c r="G139" s="1" t="str">
        <x:f>IF(D139&gt;0,"North",IF(D139&lt;0,"South","Equator"))</x:f>
        <x:v>North</x:v>
      </x:c>
      <x:c r="H139" s="8" t="n">
        <x:f>DEGREES(ACOS(MAX(-1,MIN(1,SIN(RADIANS(D139))*SIN(RADIANS('Sources and method'!$B$5))+COS(RADIANS(D139))*COS(RADIANS('Sources and method'!$B$5))*COS(RADIANS(C139-'Sources and method'!$B$4))))))</x:f>
        <x:v>143.7439955085934</x:v>
      </x:c>
      <x:c r="I139" s="1" t="str">
        <x:v>2026-08-29T11:54:35</x:v>
      </x:c>
      <x:c r="J139" s="9" t="str"/>
      <x:c r="K139" s="9" t="str">
        <x:v>all182_cleanliness_decisions.csv</x:v>
      </x:c>
      <x:c r="L139" s="9" t="str">
        <x:v>NGC5569.phot.1.fits</x:v>
      </x:c>
      <x:c r="M139" s="9" t="str">
        <x:v>Polluted</x:v>
      </x:c>
    </x:row>
    <x:row r="140" ht="15" hidden="0" customHeight="1">
      <x:c r="A140" s="1" t="str">
        <x:v>NGC5669</x:v>
      </x:c>
      <x:c r="B140" s="1" t="str">
        <x:v>Polluted</x:v>
      </x:c>
      <x:c r="C140" s="7" t="n">
        <x:v>218.1830830837294</x:v>
      </x:c>
      <x:c r="D140" s="7" t="n">
        <x:v>9.89191417314966</x:v>
      </x:c>
      <x:c r="E140" s="1" t="str">
        <x:v>14:32:43.94</x:v>
      </x:c>
      <x:c r="F140" s="1" t="str">
        <x:v>+09:53:30.89</x:v>
      </x:c>
      <x:c r="G140" s="1" t="str">
        <x:f>IF(D140&gt;0,"North",IF(D140&lt;0,"South","Equator"))</x:f>
        <x:v>North</x:v>
      </x:c>
      <x:c r="H140" s="8" t="n">
        <x:f>DEGREES(ACOS(MAX(-1,MIN(1,SIN(RADIANS(D140))*SIN(RADIANS('Sources and method'!$B$5))+COS(RADIANS(D140))*COS(RADIANS('Sources and method'!$B$5))*COS(RADIANS(C140-'Sources and method'!$B$4))))))</x:f>
        <x:v>150.3821801614092</x:v>
      </x:c>
      <x:c r="I140" s="1" t="str">
        <x:v>2026-08-29T11:54:16</x:v>
      </x:c>
      <x:c r="J140" s="9" t="str"/>
      <x:c r="K140" s="9" t="str">
        <x:v>all182_cleanliness_decisions.csv</x:v>
      </x:c>
      <x:c r="L140" s="9" t="str">
        <x:v>NGC5669.phot.1.fits</x:v>
      </x:c>
      <x:c r="M140" s="9" t="str">
        <x:v>Polluted</x:v>
      </x:c>
    </x:row>
    <x:row r="141" ht="15" hidden="0" customHeight="1">
      <x:c r="A141" s="1" t="str">
        <x:v>NGC5713</x:v>
      </x:c>
      <x:c r="B141" s="1" t="str">
        <x:v>Polluted</x:v>
      </x:c>
      <x:c r="C141" s="7" t="n">
        <x:v>220.04769998216554</x:v>
      </x:c>
      <x:c r="D141" s="7" t="n">
        <x:v>-0.288875729640791</x:v>
      </x:c>
      <x:c r="E141" s="1" t="str">
        <x:v>14:40:11.45</x:v>
      </x:c>
      <x:c r="F141" s="1" t="str">
        <x:v>-00:17:19.95</x:v>
      </x:c>
      <x:c r="G141" s="1" t="str">
        <x:f>IF(D141&gt;0,"North",IF(D141&lt;0,"South","Equator"))</x:f>
        <x:v>South</x:v>
      </x:c>
      <x:c r="H141" s="8" t="n">
        <x:f>DEGREES(ACOS(MAX(-1,MIN(1,SIN(RADIANS(D141))*SIN(RADIANS('Sources and method'!$B$5))+COS(RADIANS(D141))*COS(RADIANS('Sources and method'!$B$5))*COS(RADIANS(C141-'Sources and method'!$B$4))))))</x:f>
        <x:v>141.7642202270424</x:v>
      </x:c>
      <x:c r="I141" s="1" t="str">
        <x:v>2026-08-29T11:55:31</x:v>
      </x:c>
      <x:c r="J141" s="9" t="str"/>
      <x:c r="K141" s="9" t="str">
        <x:v>all182_cleanliness_decisions.csv</x:v>
      </x:c>
      <x:c r="L141" s="9" t="str">
        <x:v>NGC5713.phot.1.fits</x:v>
      </x:c>
      <x:c r="M141" s="9" t="str">
        <x:v>Polluted</x:v>
      </x:c>
    </x:row>
    <x:row r="142" ht="15" hidden="0" customHeight="1">
      <x:c r="A142" s="1" t="str">
        <x:v>NGC6217</x:v>
      </x:c>
      <x:c r="B142" s="1" t="str">
        <x:v>Polluted</x:v>
      </x:c>
      <x:c r="C142" s="7" t="n">
        <x:v>248.16308331996706</x:v>
      </x:c>
      <x:c r="D142" s="7" t="n">
        <x:v>78.19816500112871</x:v>
      </x:c>
      <x:c r="E142" s="1" t="str">
        <x:v>16:32:39.14</x:v>
      </x:c>
      <x:c r="F142" s="1" t="str">
        <x:v>+78:11:53.39</x:v>
      </x:c>
      <x:c r="G142" s="1" t="str">
        <x:f>IF(D142&gt;0,"North",IF(D142&lt;0,"South","Equator"))</x:f>
        <x:v>North</x:v>
      </x:c>
      <x:c r="H142" s="8" t="n">
        <x:f>DEGREES(ACOS(MAX(-1,MIN(1,SIN(RADIANS(D142))*SIN(RADIANS('Sources and method'!$B$5))+COS(RADIANS(D142))*COS(RADIANS('Sources and method'!$B$5))*COS(RADIANS(C142-'Sources and method'!$B$4))))))</x:f>
        <x:v>136.8630155627175</x:v>
      </x:c>
      <x:c r="I142" s="1" t="str">
        <x:v>2026-08-27T19:39:28</x:v>
      </x:c>
      <x:c r="J142" s="9" t="str"/>
      <x:c r="K142" s="9" t="str">
        <x:v>blind_remaining_decisions.csv</x:v>
      </x:c>
      <x:c r="L142" s="9" t="str">
        <x:v>NGC6217.phot.1.fits</x:v>
      </x:c>
      <x:c r="M142" s="9" t="str">
        <x:v>Unreviewed</x:v>
      </x:c>
    </x:row>
    <x:row r="143" ht="15" hidden="0" customHeight="1">
      <x:c r="A143" s="1" t="str">
        <x:v>NGC6237</x:v>
      </x:c>
      <x:c r="B143" s="1" t="str">
        <x:v>Polluted</x:v>
      </x:c>
      <x:c r="C143" s="7" t="n">
        <x:v>251.59221454832527</x:v>
      </x:c>
      <x:c r="D143" s="7" t="n">
        <x:v>70.35670384512616</x:v>
      </x:c>
      <x:c r="E143" s="1" t="str">
        <x:v>16:46:22.13</x:v>
      </x:c>
      <x:c r="F143" s="1" t="str">
        <x:v>+70:21:24.13</x:v>
      </x:c>
      <x:c r="G143" s="1" t="str">
        <x:f>IF(D143&gt;0,"North",IF(D143&lt;0,"South","Equator"))</x:f>
        <x:v>North</x:v>
      </x:c>
      <x:c r="H143" s="8" t="n">
        <x:f>DEGREES(ACOS(MAX(-1,MIN(1,SIN(RADIANS(D143))*SIN(RADIANS('Sources and method'!$B$5))+COS(RADIANS(D143))*COS(RADIANS('Sources and method'!$B$5))*COS(RADIANS(C143-'Sources and method'!$B$4))))))</x:f>
        <x:v>143.91723827163466</x:v>
      </x:c>
      <x:c r="I143" s="1" t="str">
        <x:v>2026-08-27T19:40:28</x:v>
      </x:c>
      <x:c r="J143" s="9" t="str"/>
      <x:c r="K143" s="9" t="str">
        <x:v>blind_remaining_decisions.csv</x:v>
      </x:c>
      <x:c r="L143" s="9" t="str">
        <x:v>NGC6237.phot.1.fits</x:v>
      </x:c>
      <x:c r="M143" s="9" t="str">
        <x:v>Unreviewed</x:v>
      </x:c>
    </x:row>
    <x:row r="144" ht="15" hidden="0" customHeight="1">
      <x:c r="A144" s="1" t="str">
        <x:v>NGC6412</x:v>
      </x:c>
      <x:c r="B144" s="1" t="str">
        <x:v>Polluted</x:v>
      </x:c>
      <x:c r="C144" s="7" t="n">
        <x:v>262.40547929586484</x:v>
      </x:c>
      <x:c r="D144" s="7" t="n">
        <x:v>75.70442293127017</x:v>
      </x:c>
      <x:c r="E144" s="1" t="str">
        <x:v>17:29:37.32</x:v>
      </x:c>
      <x:c r="F144" s="1" t="str">
        <x:v>+75:42:15.92</x:v>
      </x:c>
      <x:c r="G144" s="1" t="str">
        <x:f>IF(D144&gt;0,"North",IF(D144&lt;0,"South","Equator"))</x:f>
        <x:v>North</x:v>
      </x:c>
      <x:c r="H144" s="8" t="n">
        <x:f>DEGREES(ACOS(MAX(-1,MIN(1,SIN(RADIANS(D144))*SIN(RADIANS('Sources and method'!$B$5))+COS(RADIANS(D144))*COS(RADIANS('Sources and method'!$B$5))*COS(RADIANS(C144-'Sources and method'!$B$4))))))</x:f>
        <x:v>137.73144490806865</x:v>
      </x:c>
      <x:c r="I144" s="1" t="str">
        <x:v>2026-08-29T11:54:22</x:v>
      </x:c>
      <x:c r="J144" s="9" t="str"/>
      <x:c r="K144" s="9" t="str">
        <x:v>all182_cleanliness_decisions.csv</x:v>
      </x:c>
      <x:c r="L144" s="9" t="str">
        <x:v>NGC6412.phot.1.fits</x:v>
      </x:c>
      <x:c r="M144" s="9" t="str">
        <x:v>Polluted</x:v>
      </x:c>
    </x:row>
    <x:row r="145" ht="15" hidden="0" customHeight="1">
      <x:c r="A145" s="1" t="str">
        <x:v>NGC7418</x:v>
      </x:c>
      <x:c r="B145" s="1" t="str">
        <x:v>Ambiguous</x:v>
      </x:c>
      <x:c r="C145" s="7" t="n">
        <x:v>344.15044822027215</x:v>
      </x:c>
      <x:c r="D145" s="7" t="n">
        <x:v>-37.03000374600687</x:v>
      </x:c>
      <x:c r="E145" s="1" t="str">
        <x:v>22:56:36.11</x:v>
      </x:c>
      <x:c r="F145" s="1" t="str">
        <x:v>-37:01:48.01</x:v>
      </x:c>
      <x:c r="G145" s="1" t="str">
        <x:f>IF(D145&gt;0,"North",IF(D145&lt;0,"South","Equator"))</x:f>
        <x:v>South</x:v>
      </x:c>
      <x:c r="H145" s="8" t="n">
        <x:f>DEGREES(ACOS(MAX(-1,MIN(1,SIN(RADIANS(D145))*SIN(RADIANS('Sources and method'!$B$5))+COS(RADIANS(D145))*COS(RADIANS('Sources and method'!$B$5))*COS(RADIANS(C145-'Sources and method'!$B$4))))))</x:f>
        <x:v>55.48010160977663</x:v>
      </x:c>
      <x:c r="I145" s="1" t="str">
        <x:v>2026-08-27T19:41:05</x:v>
      </x:c>
      <x:c r="J145" s="9" t="str"/>
      <x:c r="K145" s="9" t="str">
        <x:v>blind_remaining_decisions.csv</x:v>
      </x:c>
      <x:c r="L145" s="9" t="str">
        <x:v>NGC7418.phot.1.fits</x:v>
      </x:c>
      <x:c r="M145" s="9" t="str">
        <x:v>Unreviewed</x:v>
      </x:c>
    </x:row>
    <x:row r="146" ht="15" hidden="0" customHeight="1">
      <x:c r="A146" s="1" t="str">
        <x:v>NGC7424</x:v>
      </x:c>
      <x:c r="B146" s="1" t="str">
        <x:v>Polluted</x:v>
      </x:c>
      <x:c r="C146" s="7" t="n">
        <x:v>344.3265296289826</x:v>
      </x:c>
      <x:c r="D146" s="7" t="n">
        <x:v>-41.07062582535876</x:v>
      </x:c>
      <x:c r="E146" s="1" t="str">
        <x:v>22:57:18.37</x:v>
      </x:c>
      <x:c r="F146" s="1" t="str">
        <x:v>-41:04:14.25</x:v>
      </x:c>
      <x:c r="G146" s="1" t="str">
        <x:f>IF(D146&gt;0,"North",IF(D146&lt;0,"South","Equator"))</x:f>
        <x:v>South</x:v>
      </x:c>
      <x:c r="H146" s="8" t="n">
        <x:f>DEGREES(ACOS(MAX(-1,MIN(1,SIN(RADIANS(D146))*SIN(RADIANS('Sources and method'!$B$5))+COS(RADIANS(D146))*COS(RADIANS('Sources and method'!$B$5))*COS(RADIANS(C146-'Sources and method'!$B$4))))))</x:f>
        <x:v>53.975409882385414</x:v>
      </x:c>
      <x:c r="I146" s="1" t="str">
        <x:v>2026-08-27T19:40:46</x:v>
      </x:c>
      <x:c r="J146" s="9" t="str"/>
      <x:c r="K146" s="9" t="str">
        <x:v>blind_remaining_decisions.csv</x:v>
      </x:c>
      <x:c r="L146" s="9" t="str">
        <x:v>NGC7424.phot.1.fits</x:v>
      </x:c>
      <x:c r="M146" s="9" t="str">
        <x:v>Unreviewed</x:v>
      </x:c>
    </x:row>
    <x:row r="147" ht="15" hidden="0" customHeight="1">
      <x:c r="A147" s="1" t="str">
        <x:v>NGC7496</x:v>
      </x:c>
      <x:c r="B147" s="1" t="str">
        <x:v>Polluted</x:v>
      </x:c>
      <x:c r="C147" s="7" t="n">
        <x:v>347.44703402676197</x:v>
      </x:c>
      <x:c r="D147" s="7" t="n">
        <x:v>-43.42784917177959</x:v>
      </x:c>
      <x:c r="E147" s="1" t="str">
        <x:v>23:09:47.29</x:v>
      </x:c>
      <x:c r="F147" s="1" t="str">
        <x:v>-43:25:40.26</x:v>
      </x:c>
      <x:c r="G147" s="1" t="str">
        <x:f>IF(D147&gt;0,"North",IF(D147&lt;0,"South","Equator"))</x:f>
        <x:v>South</x:v>
      </x:c>
      <x:c r="H147" s="8" t="n">
        <x:f>DEGREES(ACOS(MAX(-1,MIN(1,SIN(RADIANS(D147))*SIN(RADIANS('Sources and method'!$B$5))+COS(RADIANS(D147))*COS(RADIANS('Sources and method'!$B$5))*COS(RADIANS(C147-'Sources and method'!$B$4))))))</x:f>
        <x:v>51.08106941592344</x:v>
      </x:c>
      <x:c r="I147" s="1" t="str">
        <x:v>2026-08-27T19:43:38</x:v>
      </x:c>
      <x:c r="J147" s="9" t="str"/>
      <x:c r="K147" s="9" t="str">
        <x:v>blind_remaining_decisions.csv</x:v>
      </x:c>
      <x:c r="L147" s="9" t="str">
        <x:v>NGC7496.phot.1.fits</x:v>
      </x:c>
      <x:c r="M147" s="9" t="str">
        <x:v>Unreviewed</x:v>
      </x:c>
    </x:row>
    <x:row r="148" ht="15" hidden="0" customHeight="1">
      <x:c r="A148" s="1" t="str">
        <x:v>NGC7513</x:v>
      </x:c>
      <x:c r="B148" s="1" t="str">
        <x:v>Polluted</x:v>
      </x:c>
      <x:c r="C148" s="7" t="n">
        <x:v>348.30854678036917</x:v>
      </x:c>
      <x:c r="D148" s="7" t="n">
        <x:v>-28.35751791281467</x:v>
      </x:c>
      <x:c r="E148" s="1" t="str">
        <x:v>23:13:14.05</x:v>
      </x:c>
      <x:c r="F148" s="1" t="str">
        <x:v>-28:21:27.06</x:v>
      </x:c>
      <x:c r="G148" s="1" t="str">
        <x:f>IF(D148&gt;0,"North",IF(D148&lt;0,"South","Equator"))</x:f>
        <x:v>South</x:v>
      </x:c>
      <x:c r="H148" s="8" t="n">
        <x:f>DEGREES(ACOS(MAX(-1,MIN(1,SIN(RADIANS(D148))*SIN(RADIANS('Sources and method'!$B$5))+COS(RADIANS(D148))*COS(RADIANS('Sources and method'!$B$5))*COS(RADIANS(C148-'Sources and method'!$B$4))))))</x:f>
        <x:v>55.703111149790736</x:v>
      </x:c>
      <x:c r="I148" s="1" t="str">
        <x:v>2026-08-27T19:42:58</x:v>
      </x:c>
      <x:c r="J148" s="9" t="str"/>
      <x:c r="K148" s="9" t="str">
        <x:v>blind_remaining_decisions.csv</x:v>
      </x:c>
      <x:c r="L148" s="9" t="str">
        <x:v>NGC7513.phot.1.fits</x:v>
      </x:c>
      <x:c r="M148" s="9" t="str">
        <x:v>Unreviewed</x:v>
      </x:c>
    </x:row>
    <x:row r="149" ht="15" hidden="0" customHeight="1">
      <x:c r="A149" s="1" t="str">
        <x:v>NGC7531</x:v>
      </x:c>
      <x:c r="B149" s="1" t="str">
        <x:v>Clean</x:v>
      </x:c>
      <x:c r="C149" s="7" t="n">
        <x:v>348.70187469541503</x:v>
      </x:c>
      <x:c r="D149" s="7" t="n">
        <x:v>-43.599870727038045</x:v>
      </x:c>
      <x:c r="E149" s="1" t="str">
        <x:v>23:14:48.45</x:v>
      </x:c>
      <x:c r="F149" s="1" t="str">
        <x:v>-43:35:59.53</x:v>
      </x:c>
      <x:c r="G149" s="1" t="str">
        <x:f>IF(D149&gt;0,"North",IF(D149&lt;0,"South","Equator"))</x:f>
        <x:v>South</x:v>
      </x:c>
      <x:c r="H149" s="8" t="n">
        <x:f>DEGREES(ACOS(MAX(-1,MIN(1,SIN(RADIANS(D149))*SIN(RADIANS('Sources and method'!$B$5))+COS(RADIANS(D149))*COS(RADIANS('Sources and method'!$B$5))*COS(RADIANS(C149-'Sources and method'!$B$4))))))</x:f>
        <x:v>50.157301594996795</x:v>
      </x:c>
      <x:c r="I149" s="1" t="str">
        <x:v>2026-08-29T11:56:31</x:v>
      </x:c>
      <x:c r="J149" s="9" t="str"/>
      <x:c r="K149" s="9" t="str">
        <x:v>all182_cleanliness_decisions.csv</x:v>
      </x:c>
      <x:c r="L149" s="9" t="str">
        <x:v>NGC7531.phot.1.fits</x:v>
      </x:c>
      <x:c r="M149" s="9" t="str">
        <x:v>Clean</x:v>
      </x:c>
    </x:row>
    <x:row r="150" ht="15" hidden="0" customHeight="1">
      <x:c r="A150" s="1" t="str">
        <x:v>NGC7552</x:v>
      </x:c>
      <x:c r="B150" s="1" t="str">
        <x:v>Polluted</x:v>
      </x:c>
      <x:c r="C150" s="7" t="n">
        <x:v>349.04519425191614</x:v>
      </x:c>
      <x:c r="D150" s="7" t="n">
        <x:v>-42.58517020060251</x:v>
      </x:c>
      <x:c r="E150" s="1" t="str">
        <x:v>23:16:10.85</x:v>
      </x:c>
      <x:c r="F150" s="1" t="str">
        <x:v>-42:35:06.61</x:v>
      </x:c>
      <x:c r="G150" s="1" t="str">
        <x:f>IF(D150&gt;0,"North",IF(D150&lt;0,"South","Equator"))</x:f>
        <x:v>South</x:v>
      </x:c>
      <x:c r="H150" s="8" t="n">
        <x:f>DEGREES(ACOS(MAX(-1,MIN(1,SIN(RADIANS(D150))*SIN(RADIANS('Sources and method'!$B$5))+COS(RADIANS(D150))*COS(RADIANS('Sources and method'!$B$5))*COS(RADIANS(C150-'Sources and method'!$B$4))))))</x:f>
        <x:v>50.17242820528596</x:v>
      </x:c>
      <x:c r="I150" s="1" t="str">
        <x:v>2026-08-27T19:39:33</x:v>
      </x:c>
      <x:c r="J150" s="9" t="str"/>
      <x:c r="K150" s="9" t="str">
        <x:v>blind_remaining_decisions.csv</x:v>
      </x:c>
      <x:c r="L150" s="9" t="str">
        <x:v>NGC7552.phot.1.fits</x:v>
      </x:c>
      <x:c r="M150" s="9" t="str">
        <x:v>Unreviewed</x:v>
      </x:c>
    </x:row>
    <x:row r="151" ht="15" hidden="0" customHeight="1">
      <x:c r="A151" s="1" t="str">
        <x:v>NGC7582</x:v>
      </x:c>
      <x:c r="B151" s="1" t="str">
        <x:v>Polluted</x:v>
      </x:c>
      <x:c r="C151" s="7" t="n">
        <x:v>349.5981249614058</x:v>
      </x:c>
      <x:c r="D151" s="7" t="n">
        <x:v>-42.3700845756834</x:v>
      </x:c>
      <x:c r="E151" s="1" t="str">
        <x:v>23:18:23.55</x:v>
      </x:c>
      <x:c r="F151" s="1" t="str">
        <x:v>-42:22:12.30</x:v>
      </x:c>
      <x:c r="G151" s="1" t="str">
        <x:f>IF(D151&gt;0,"North",IF(D151&lt;0,"South","Equator"))</x:f>
        <x:v>South</x:v>
      </x:c>
      <x:c r="H151" s="8" t="n">
        <x:f>DEGREES(ACOS(MAX(-1,MIN(1,SIN(RADIANS(D151))*SIN(RADIANS('Sources and method'!$B$5))+COS(RADIANS(D151))*COS(RADIANS('Sources and method'!$B$5))*COS(RADIANS(C151-'Sources and method'!$B$4))))))</x:f>
        <x:v>49.834024134828326</x:v>
      </x:c>
      <x:c r="I151" s="1" t="str">
        <x:v>2026-08-27T19:41:36</x:v>
      </x:c>
      <x:c r="J151" s="9" t="str"/>
      <x:c r="K151" s="9" t="str">
        <x:v>blind_remaining_decisions.csv</x:v>
      </x:c>
      <x:c r="L151" s="9" t="str">
        <x:v>NGC7582.phot.1.fits</x:v>
      </x:c>
      <x:c r="M151" s="9" t="str">
        <x:v>Unreviewed</x:v>
      </x:c>
    </x:row>
    <x:row r="152" ht="15" hidden="0" customHeight="1">
      <x:c r="A152" s="1" t="str">
        <x:v>NGC7764</x:v>
      </x:c>
      <x:c r="B152" s="1" t="str">
        <x:v>Polluted</x:v>
      </x:c>
      <x:c r="C152" s="7" t="n">
        <x:v>357.7241809885341</x:v>
      </x:c>
      <x:c r="D152" s="7" t="n">
        <x:v>-40.73005929220226</x:v>
      </x:c>
      <x:c r="E152" s="1" t="str">
        <x:v>23:50:53.80</x:v>
      </x:c>
      <x:c r="F152" s="1" t="str">
        <x:v>-40:43:48.21</x:v>
      </x:c>
      <x:c r="G152" s="1" t="str">
        <x:f>IF(D152&gt;0,"North",IF(D152&lt;0,"South","Equator"))</x:f>
        <x:v>South</x:v>
      </x:c>
      <x:c r="H152" s="8" t="n">
        <x:f>DEGREES(ACOS(MAX(-1,MIN(1,SIN(RADIANS(D152))*SIN(RADIANS('Sources and method'!$B$5))+COS(RADIANS(D152))*COS(RADIANS('Sources and method'!$B$5))*COS(RADIANS(C152-'Sources and method'!$B$4))))))</x:f>
        <x:v>44.308428168251524</x:v>
      </x:c>
      <x:c r="I152" s="1" t="str">
        <x:v>2026-08-27T19:40:01</x:v>
      </x:c>
      <x:c r="J152" s="9" t="str"/>
      <x:c r="K152" s="9" t="str">
        <x:v>blind_remaining_decisions.csv</x:v>
      </x:c>
      <x:c r="L152" s="9" t="str">
        <x:v>NGC7764.phot.1.fits</x:v>
      </x:c>
      <x:c r="M152" s="9" t="str">
        <x:v>Unreviewed</x:v>
      </x:c>
    </x:row>
    <x:row r="153" ht="15" hidden="0" customHeight="1">
      <x:c r="A153" s="1" t="str">
        <x:v>NGC7800</x:v>
      </x:c>
      <x:c r="B153" s="1" t="str">
        <x:v>Polluted</x:v>
      </x:c>
      <x:c r="C153" s="7" t="n">
        <x:v>359.9031064638388</x:v>
      </x:c>
      <x:c r="D153" s="7" t="n">
        <x:v>14.807052918763686</x:v>
      </x:c>
      <x:c r="E153" s="1" t="str">
        <x:v>23:59:36.75</x:v>
      </x:c>
      <x:c r="F153" s="1" t="str">
        <x:v>+14:48:25.39</x:v>
      </x:c>
      <x:c r="G153" s="1" t="str">
        <x:f>IF(D153&gt;0,"North",IF(D153&lt;0,"South","Equator"))</x:f>
        <x:v>North</x:v>
      </x:c>
      <x:c r="H153" s="8" t="n">
        <x:f>DEGREES(ACOS(MAX(-1,MIN(1,SIN(RADIANS(D153))*SIN(RADIANS('Sources and method'!$B$5))+COS(RADIANS(D153))*COS(RADIANS('Sources and method'!$B$5))*COS(RADIANS(C153-'Sources and method'!$B$4))))))</x:f>
        <x:v>72.1414540593274</x:v>
      </x:c>
      <x:c r="I153" s="1" t="str">
        <x:v>2026-08-27T19:42:24</x:v>
      </x:c>
      <x:c r="J153" s="9" t="str"/>
      <x:c r="K153" s="9" t="str">
        <x:v>blind_remaining_decisions.csv</x:v>
      </x:c>
      <x:c r="L153" s="9" t="str">
        <x:v>NGC7800.phot.1.fits</x:v>
      </x:c>
      <x:c r="M153" s="9" t="str">
        <x:v>Unreviewed</x:v>
      </x:c>
    </x:row>
    <x:row r="154" ht="15" hidden="0" customHeight="1">
      <x:c r="A154" s="1" t="str">
        <x:v>PGC002492</x:v>
      </x:c>
      <x:c r="B154" s="1" t="str">
        <x:v>Unreviewed</x:v>
      </x:c>
      <x:c r="C154" s="7" t="n">
        <x:v>10.439417407462845</x:v>
      </x:c>
      <x:c r="D154" s="7" t="n">
        <x:v>-16.860798232210787</x:v>
      </x:c>
      <x:c r="E154" s="1" t="str">
        <x:v>00:41:45.46</x:v>
      </x:c>
      <x:c r="F154" s="1" t="str">
        <x:v>-16:51:38.87</x:v>
      </x:c>
      <x:c r="G154" s="1" t="str">
        <x:f>IF(D154&gt;0,"North",IF(D154&lt;0,"South","Equator"))</x:f>
        <x:v>South</x:v>
      </x:c>
      <x:c r="H154" s="8" t="n">
        <x:f>DEGREES(ACOS(MAX(-1,MIN(1,SIN(RADIANS(D154))*SIN(RADIANS('Sources and method'!$B$5))+COS(RADIANS(D154))*COS(RADIANS('Sources and method'!$B$5))*COS(RADIANS(C154-'Sources and method'!$B$4))))))</x:f>
        <x:v>43.33931500848931</x:v>
      </x:c>
      <x:c r="I154" s="1" t="str"/>
      <x:c r="J154" s="9" t="str"/>
      <x:c r="K154" s="9" t="str">
        <x:v>No recorded categorical review</x:v>
      </x:c>
      <x:c r="L154" s="9" t="str">
        <x:v>PGC002492.phot.1.fits</x:v>
      </x:c>
      <x:c r="M154" s="9" t="str">
        <x:v>Unreviewed</x:v>
      </x:c>
    </x:row>
    <x:row r="155" ht="15" hidden="0" customHeight="1">
      <x:c r="A155" s="1" t="str">
        <x:v>PGC006626</x:v>
      </x:c>
      <x:c r="B155" s="1" t="str">
        <x:v>Unreviewed</x:v>
      </x:c>
      <x:c r="C155" s="7" t="n">
        <x:v>27.107389337934144</x:v>
      </x:c>
      <x:c r="D155" s="7" t="n">
        <x:v>-12.381289169587106</x:v>
      </x:c>
      <x:c r="E155" s="1" t="str">
        <x:v>01:48:25.77</x:v>
      </x:c>
      <x:c r="F155" s="1" t="str">
        <x:v>-12:22:52.64</x:v>
      </x:c>
      <x:c r="G155" s="1" t="str">
        <x:f>IF(D155&gt;0,"North",IF(D155&lt;0,"South","Equator"))</x:f>
        <x:v>South</x:v>
      </x:c>
      <x:c r="H155" s="8" t="n">
        <x:f>DEGREES(ACOS(MAX(-1,MIN(1,SIN(RADIANS(D155))*SIN(RADIANS('Sources and method'!$B$5))+COS(RADIANS(D155))*COS(RADIANS('Sources and method'!$B$5))*COS(RADIANS(C155-'Sources and method'!$B$4))))))</x:f>
        <x:v>33.89713398295922</x:v>
      </x:c>
      <x:c r="I155" s="1" t="str"/>
      <x:c r="J155" s="9" t="str"/>
      <x:c r="K155" s="9" t="str">
        <x:v>No recorded categorical review</x:v>
      </x:c>
      <x:c r="L155" s="9" t="str">
        <x:v>PGC006626.phot.1.fits</x:v>
      </x:c>
      <x:c r="M155" s="9" t="str">
        <x:v>Unreviewed</x:v>
      </x:c>
    </x:row>
    <x:row r="156" ht="15" hidden="0" customHeight="1">
      <x:c r="A156" s="1" t="str">
        <x:v>PGC007654</x:v>
      </x:c>
      <x:c r="B156" s="1" t="str">
        <x:v>Polluted</x:v>
      </x:c>
      <x:c r="C156" s="7" t="n">
        <x:v>30.22900513132128</x:v>
      </x:c>
      <x:c r="D156" s="7" t="n">
        <x:v>-8.841048667973679</x:v>
      </x:c>
      <x:c r="E156" s="1" t="str">
        <x:v>02:00:54.96</x:v>
      </x:c>
      <x:c r="F156" s="1" t="str">
        <x:v>-08:50:27.78</x:v>
      </x:c>
      <x:c r="G156" s="1" t="str">
        <x:f>IF(D156&gt;0,"North",IF(D156&lt;0,"South","Equator"))</x:f>
        <x:v>South</x:v>
      </x:c>
      <x:c r="H156" s="8" t="n">
        <x:f>DEGREES(ACOS(MAX(-1,MIN(1,SIN(RADIANS(D156))*SIN(RADIANS('Sources and method'!$B$5))+COS(RADIANS(D156))*COS(RADIANS('Sources and method'!$B$5))*COS(RADIANS(C156-'Sources and method'!$B$4))))))</x:f>
        <x:v>34.69134941429813</x:v>
      </x:c>
      <x:c r="I156" s="1" t="str">
        <x:v>2026-08-27T19:42:49</x:v>
      </x:c>
      <x:c r="J156" s="9" t="str"/>
      <x:c r="K156" s="9" t="str">
        <x:v>blind_remaining_decisions.csv</x:v>
      </x:c>
      <x:c r="L156" s="9" t="str">
        <x:v>PGC007654.phot.1.fits</x:v>
      </x:c>
      <x:c r="M156" s="9" t="str">
        <x:v>Unreviewed</x:v>
      </x:c>
    </x:row>
    <x:row r="157" ht="15" hidden="0" customHeight="1">
      <x:c r="A157" s="1" t="str">
        <x:v>PGC011677</x:v>
      </x:c>
      <x:c r="B157" s="1" t="str">
        <x:v>Polluted</x:v>
      </x:c>
      <x:c r="C157" s="7" t="n">
        <x:v>46.76916472287576</x:v>
      </x:c>
      <x:c r="D157" s="7" t="n">
        <x:v>-14.003471242740842</x:v>
      </x:c>
      <x:c r="E157" s="1" t="str">
        <x:v>03:07:04.60</x:v>
      </x:c>
      <x:c r="F157" s="1" t="str">
        <x:v>-14:00:12.50</x:v>
      </x:c>
      <x:c r="G157" s="1" t="str">
        <x:f>IF(D157&gt;0,"North",IF(D157&lt;0,"South","Equator"))</x:f>
        <x:v>South</x:v>
      </x:c>
      <x:c r="H157" s="8" t="n">
        <x:f>DEGREES(ACOS(MAX(-1,MIN(1,SIN(RADIANS(D157))*SIN(RADIANS('Sources and method'!$B$5))+COS(RADIANS(D157))*COS(RADIANS('Sources and method'!$B$5))*COS(RADIANS(C157-'Sources and method'!$B$4))))))</x:f>
        <x:v>22.5800741121466</x:v>
      </x:c>
      <x:c r="I157" s="1" t="str">
        <x:v>2026-08-29T11:54:48</x:v>
      </x:c>
      <x:c r="J157" s="9" t="str"/>
      <x:c r="K157" s="9" t="str">
        <x:v>all182_cleanliness_decisions.csv</x:v>
      </x:c>
      <x:c r="L157" s="9" t="str">
        <x:v>PGC011677.phot.1.fits</x:v>
      </x:c>
      <x:c r="M157" s="9" t="str">
        <x:v>Polluted</x:v>
      </x:c>
    </x:row>
    <x:row r="158" ht="15" hidden="0" customHeight="1">
      <x:c r="A158" s="1" t="str">
        <x:v>PGC013821</x:v>
      </x:c>
      <x:c r="B158" s="1" t="str">
        <x:v>Clean</x:v>
      </x:c>
      <x:c r="C158" s="7" t="n">
        <x:v>56.65892170328633</x:v>
      </x:c>
      <x:c r="D158" s="7" t="n">
        <x:v>-16.549549036421684</x:v>
      </x:c>
      <x:c r="E158" s="1" t="str">
        <x:v>03:46:38.14</x:v>
      </x:c>
      <x:c r="F158" s="1" t="str">
        <x:v>-16:32:58.38</x:v>
      </x:c>
      <x:c r="G158" s="1" t="str">
        <x:f>IF(D158&gt;0,"North",IF(D158&lt;0,"South","Equator"))</x:f>
        <x:v>South</x:v>
      </x:c>
      <x:c r="H158" s="8" t="n">
        <x:f>DEGREES(ACOS(MAX(-1,MIN(1,SIN(RADIANS(D158))*SIN(RADIANS('Sources and method'!$B$5))+COS(RADIANS(D158))*COS(RADIANS('Sources and method'!$B$5))*COS(RADIANS(C158-'Sources and method'!$B$4))))))</x:f>
        <x:v>18.98833990069455</x:v>
      </x:c>
      <x:c r="I158" s="1" t="str">
        <x:v>2026-08-29T11:54:53</x:v>
      </x:c>
      <x:c r="J158" s="9" t="str"/>
      <x:c r="K158" s="9" t="str">
        <x:v>all182_cleanliness_decisions.csv</x:v>
      </x:c>
      <x:c r="L158" s="9" t="str">
        <x:v>PGC013821.phot.1.fits</x:v>
      </x:c>
      <x:c r="M158" s="9" t="str">
        <x:v>Clean</x:v>
      </x:c>
    </x:row>
    <x:row r="159" ht="15" hidden="0" customHeight="1">
      <x:c r="A159" s="1" t="str">
        <x:v>PGC035705</x:v>
      </x:c>
      <x:c r="B159" s="1" t="str">
        <x:v>Polluted</x:v>
      </x:c>
      <x:c r="C159" s="7" t="n">
        <x:v>173.43872141932565</x:v>
      </x:c>
      <x:c r="D159" s="7" t="n">
        <x:v>-3.4367749989023784</x:v>
      </x:c>
      <x:c r="E159" s="1" t="str">
        <x:v>11:33:45.29</x:v>
      </x:c>
      <x:c r="F159" s="1" t="str">
        <x:v>-03:26:12.39</x:v>
      </x:c>
      <x:c r="G159" s="1" t="str">
        <x:f>IF(D159&gt;0,"North",IF(D159&lt;0,"South","Equator"))</x:f>
        <x:v>South</x:v>
      </x:c>
      <x:c r="H159" s="8" t="n">
        <x:f>DEGREES(ACOS(MAX(-1,MIN(1,SIN(RADIANS(D159))*SIN(RADIANS('Sources and method'!$B$5))+COS(RADIANS(D159))*COS(RADIANS('Sources and method'!$B$5))*COS(RADIANS(C159-'Sources and method'!$B$4))))))</x:f>
        <x:v>110.92750319391881</x:v>
      </x:c>
      <x:c r="I159" s="1" t="str">
        <x:v>2026-08-27T19:41:16</x:v>
      </x:c>
      <x:c r="J159" s="9" t="str"/>
      <x:c r="K159" s="9" t="str">
        <x:v>blind_remaining_decisions.csv</x:v>
      </x:c>
      <x:c r="L159" s="9" t="str">
        <x:v>PGC035705.phot.1.fits</x:v>
      </x:c>
      <x:c r="M159" s="9" t="str">
        <x:v>Unreviewed</x:v>
      </x:c>
    </x:row>
    <x:row r="160" ht="15" hidden="0" customHeight="1">
      <x:c r="A160" s="1" t="str">
        <x:v>PGC042160</x:v>
      </x:c>
      <x:c r="B160" s="1" t="str">
        <x:v>Unreviewed</x:v>
      </x:c>
      <x:c r="C160" s="7" t="n">
        <x:v>189.42219778077276</x:v>
      </x:c>
      <x:c r="D160" s="7" t="n">
        <x:v>8.559314555054554</x:v>
      </x:c>
      <x:c r="E160" s="1" t="str">
        <x:v>12:37:41.33</x:v>
      </x:c>
      <x:c r="F160" s="1" t="str">
        <x:v>+08:33:33.53</x:v>
      </x:c>
      <x:c r="G160" s="1" t="str">
        <x:f>IF(D160&gt;0,"North",IF(D160&lt;0,"South","Equator"))</x:f>
        <x:v>North</x:v>
      </x:c>
      <x:c r="H160" s="8" t="n">
        <x:f>DEGREES(ACOS(MAX(-1,MIN(1,SIN(RADIANS(D160))*SIN(RADIANS('Sources and method'!$B$5))+COS(RADIANS(D160))*COS(RADIANS('Sources and method'!$B$5))*COS(RADIANS(C160-'Sources and method'!$B$4))))))</x:f>
        <x:v>130.83977554716665</x:v>
      </x:c>
      <x:c r="I160" s="1" t="str"/>
      <x:c r="J160" s="9" t="str"/>
      <x:c r="K160" s="9" t="str">
        <x:v>No recorded categorical review</x:v>
      </x:c>
      <x:c r="L160" s="9" t="str">
        <x:v>PGC042160.phot.1.fits</x:v>
      </x:c>
      <x:c r="M160" s="9" t="str">
        <x:v>Unreviewed</x:v>
      </x:c>
    </x:row>
    <x:row r="161" ht="15" hidden="0" customHeight="1">
      <x:c r="A161" s="1" t="str">
        <x:v>PGC048179</x:v>
      </x:c>
      <x:c r="B161" s="1" t="str">
        <x:v>Unreviewed</x:v>
      </x:c>
      <x:c r="C161" s="7" t="n">
        <x:v>204.54317324588183</x:v>
      </x:c>
      <x:c r="D161" s="7" t="n">
        <x:v>-9.802369127594273</x:v>
      </x:c>
      <x:c r="E161" s="1" t="str">
        <x:v>13:38:10.36</x:v>
      </x:c>
      <x:c r="F161" s="1" t="str">
        <x:v>-09:48:08.53</x:v>
      </x:c>
      <x:c r="G161" s="1" t="str">
        <x:f>IF(D161&gt;0,"North",IF(D161&lt;0,"South","Equator"))</x:f>
        <x:v>South</x:v>
      </x:c>
      <x:c r="H161" s="8" t="n">
        <x:f>DEGREES(ACOS(MAX(-1,MIN(1,SIN(RADIANS(D161))*SIN(RADIANS('Sources and method'!$B$5))+COS(RADIANS(D161))*COS(RADIANS('Sources and method'!$B$5))*COS(RADIANS(C161-'Sources and method'!$B$4))))))</x:f>
        <x:v>126.57573010831669</x:v>
      </x:c>
      <x:c r="I161" s="1" t="str"/>
      <x:c r="J161" s="9" t="str"/>
      <x:c r="K161" s="9" t="str">
        <x:v>No recorded categorical review</x:v>
      </x:c>
      <x:c r="L161" s="9" t="str">
        <x:v>PGC048179.phot.1.fits</x:v>
      </x:c>
      <x:c r="M161" s="9" t="str">
        <x:v>Unreviewed</x:v>
      </x:c>
    </x:row>
    <x:row r="162" ht="15" hidden="0" customHeight="1">
      <x:c r="A162" s="1" t="str">
        <x:v>PGC051523</x:v>
      </x:c>
      <x:c r="B162" s="1" t="str">
        <x:v>Polluted</x:v>
      </x:c>
      <x:c r="C162" s="7" t="n">
        <x:v>216.4393842423546</x:v>
      </x:c>
      <x:c r="D162" s="7" t="n">
        <x:v>-5.401922080201696</x:v>
      </x:c>
      <x:c r="E162" s="1" t="str">
        <x:v>14:25:45.45</x:v>
      </x:c>
      <x:c r="F162" s="1" t="str">
        <x:v>-05:24:06.92</x:v>
      </x:c>
      <x:c r="G162" s="1" t="str">
        <x:f>IF(D162&gt;0,"North",IF(D162&lt;0,"South","Equator"))</x:f>
        <x:v>South</x:v>
      </x:c>
      <x:c r="H162" s="8" t="n">
        <x:f>DEGREES(ACOS(MAX(-1,MIN(1,SIN(RADIANS(D162))*SIN(RADIANS('Sources and method'!$B$5))+COS(RADIANS(D162))*COS(RADIANS('Sources and method'!$B$5))*COS(RADIANS(C162-'Sources and method'!$B$4))))))</x:f>
        <x:v>135.7171775369375</x:v>
      </x:c>
      <x:c r="I162" s="1" t="str">
        <x:v>2026-08-29T11:55:00</x:v>
      </x:c>
      <x:c r="J162" s="9" t="str"/>
      <x:c r="K162" s="9" t="str">
        <x:v>all182_cleanliness_decisions.csv</x:v>
      </x:c>
      <x:c r="L162" s="9" t="str">
        <x:v>PGC051523.phot.1.fits</x:v>
      </x:c>
      <x:c r="M162" s="9" t="str">
        <x:v>Polluted</x:v>
      </x:c>
    </x:row>
    <x:row r="163" ht="15" hidden="0" customHeight="1">
      <x:c r="A163" s="1" t="str">
        <x:v>UGC02302</x:v>
      </x:c>
      <x:c r="B163" s="1" t="str">
        <x:v>Polluted</x:v>
      </x:c>
      <x:c r="C163" s="7" t="n">
        <x:v>42.28797429160744</x:v>
      </x:c>
      <x:c r="D163" s="7" t="n">
        <x:v>2.127950661615293</x:v>
      </x:c>
      <x:c r="E163" s="1" t="str">
        <x:v>02:49:09.11</x:v>
      </x:c>
      <x:c r="F163" s="1" t="str">
        <x:v>+02:07:40.62</x:v>
      </x:c>
      <x:c r="G163" s="1" t="str">
        <x:f>IF(D163&gt;0,"North",IF(D163&lt;0,"South","Equator"))</x:f>
        <x:v>North</x:v>
      </x:c>
      <x:c r="H163" s="8" t="n">
        <x:f>DEGREES(ACOS(MAX(-1,MIN(1,SIN(RADIANS(D163))*SIN(RADIANS('Sources and method'!$B$5))+COS(RADIANS(D163))*COS(RADIANS('Sources and method'!$B$5))*COS(RADIANS(C163-'Sources and method'!$B$4))))))</x:f>
        <x:v>39.30999137392511</x:v>
      </x:c>
      <x:c r="I163" s="1" t="str">
        <x:v>2026-08-29T11:55:44</x:v>
      </x:c>
      <x:c r="J163" s="9" t="str"/>
      <x:c r="K163" s="9" t="str">
        <x:v>all182_cleanliness_decisions.csv</x:v>
      </x:c>
      <x:c r="L163" s="9" t="str">
        <x:v>UGC02302.phot.1.fits</x:v>
      </x:c>
      <x:c r="M163" s="9" t="str">
        <x:v>Polluted</x:v>
      </x:c>
    </x:row>
    <x:row r="164" ht="15" hidden="0" customHeight="1">
      <x:c r="A164" s="1" t="str">
        <x:v>UGC02345</x:v>
      </x:c>
      <x:c r="B164" s="1" t="str">
        <x:v>Polluted</x:v>
      </x:c>
      <x:c r="C164" s="7" t="n">
        <x:v>42.971077623649855</x:v>
      </x:c>
      <x:c r="D164" s="7" t="n">
        <x:v>-1.1721479024938406</x:v>
      </x:c>
      <x:c r="E164" s="1" t="str">
        <x:v>02:51:53.06</x:v>
      </x:c>
      <x:c r="F164" s="1" t="str">
        <x:v>-01:10:19.73</x:v>
      </x:c>
      <x:c r="G164" s="1" t="str">
        <x:f>IF(D164&gt;0,"North",IF(D164&lt;0,"South","Equator"))</x:f>
        <x:v>South</x:v>
      </x:c>
      <x:c r="H164" s="8" t="n">
        <x:f>DEGREES(ACOS(MAX(-1,MIN(1,SIN(RADIANS(D164))*SIN(RADIANS('Sources and method'!$B$5))+COS(RADIANS(D164))*COS(RADIANS('Sources and method'!$B$5))*COS(RADIANS(C164-'Sources and method'!$B$4))))))</x:f>
        <x:v>35.949919413087926</x:v>
      </x:c>
      <x:c r="I164" s="1" t="str">
        <x:v>2026-08-29T11:54:38</x:v>
      </x:c>
      <x:c r="J164" s="9" t="str"/>
      <x:c r="K164" s="9" t="str">
        <x:v>all182_cleanliness_decisions.csv</x:v>
      </x:c>
      <x:c r="L164" s="9" t="str">
        <x:v>UGC02345.phot.1.fits</x:v>
      </x:c>
      <x:c r="M164" s="9" t="str">
        <x:v>Polluted</x:v>
      </x:c>
    </x:row>
    <x:row r="165" ht="15" hidden="0" customHeight="1">
      <x:c r="A165" s="1" t="str">
        <x:v>UGC04393</x:v>
      </x:c>
      <x:c r="B165" s="1" t="str">
        <x:v>Polluted</x:v>
      </x:c>
      <x:c r="C165" s="7" t="n">
        <x:v>126.5183667759259</x:v>
      </x:c>
      <x:c r="D165" s="7" t="n">
        <x:v>45.9677279237133</x:v>
      </x:c>
      <x:c r="E165" s="1" t="str">
        <x:v>08:26:04.41</x:v>
      </x:c>
      <x:c r="F165" s="1" t="str">
        <x:v>+45:58:03.82</x:v>
      </x:c>
      <x:c r="G165" s="1" t="str">
        <x:f>IF(D165&gt;0,"North",IF(D165&lt;0,"South","Equator"))</x:f>
        <x:v>North</x:v>
      </x:c>
      <x:c r="H165" s="8" t="n">
        <x:f>DEGREES(ACOS(MAX(-1,MIN(1,SIN(RADIANS(D165))*SIN(RADIANS('Sources and method'!$B$5))+COS(RADIANS(D165))*COS(RADIANS('Sources and method'!$B$5))*COS(RADIANS(C165-'Sources and method'!$B$4))))))</x:f>
        <x:v>103.94899250377779</x:v>
      </x:c>
      <x:c r="I165" s="1" t="str">
        <x:v>2026-08-27T19:42:37</x:v>
      </x:c>
      <x:c r="J165" s="9" t="str"/>
      <x:c r="K165" s="9" t="str">
        <x:v>blind_remaining_decisions.csv</x:v>
      </x:c>
      <x:c r="L165" s="9" t="str">
        <x:v>UGC04393.phot.1.fits</x:v>
      </x:c>
      <x:c r="M165" s="9" t="str">
        <x:v>Unreviewed</x:v>
      </x:c>
    </x:row>
    <x:row r="166" ht="15" hidden="0" customHeight="1">
      <x:c r="A166" s="1" t="str">
        <x:v>UGC04499</x:v>
      </x:c>
      <x:c r="B166" s="1" t="str">
        <x:v>Polluted</x:v>
      </x:c>
      <x:c r="C166" s="7" t="n">
        <x:v>129.42301453918196</x:v>
      </x:c>
      <x:c r="D166" s="7" t="n">
        <x:v>51.65277501310141</x:v>
      </x:c>
      <x:c r="E166" s="1" t="str">
        <x:v>08:37:41.52</x:v>
      </x:c>
      <x:c r="F166" s="1" t="str">
        <x:v>+51:39:09.99</x:v>
      </x:c>
      <x:c r="G166" s="1" t="str">
        <x:f>IF(D166&gt;0,"North",IF(D166&lt;0,"South","Equator"))</x:f>
        <x:v>North</x:v>
      </x:c>
      <x:c r="H166" s="8" t="n">
        <x:f>DEGREES(ACOS(MAX(-1,MIN(1,SIN(RADIANS(D166))*SIN(RADIANS('Sources and method'!$B$5))+COS(RADIANS(D166))*COS(RADIANS('Sources and method'!$B$5))*COS(RADIANS(C166-'Sources and method'!$B$4))))))</x:f>
        <x:v>108.80687375547531</x:v>
      </x:c>
      <x:c r="I166" s="1" t="str">
        <x:v>2026-08-27T19:41:54</x:v>
      </x:c>
      <x:c r="J166" s="9" t="str"/>
      <x:c r="K166" s="9" t="str">
        <x:v>blind_remaining_decisions.csv</x:v>
      </x:c>
      <x:c r="L166" s="9" t="str">
        <x:v>UGC04499.phot.1.fits</x:v>
      </x:c>
      <x:c r="M166" s="9" t="str">
        <x:v>Unreviewed</x:v>
      </x:c>
    </x:row>
    <x:row r="167" ht="15" hidden="0" customHeight="1">
      <x:c r="A167" s="1" t="str">
        <x:v>UGC04988</x:v>
      </x:c>
      <x:c r="B167" s="1" t="str">
        <x:v>Polluted</x:v>
      </x:c>
      <x:c r="C167" s="7" t="n">
        <x:v>140.81327875114815</x:v>
      </x:c>
      <x:c r="D167" s="7" t="n">
        <x:v>34.73440667001948</x:v>
      </x:c>
      <x:c r="E167" s="1" t="str">
        <x:v>09:23:15.19</x:v>
      </x:c>
      <x:c r="F167" s="1" t="str">
        <x:v>+34:44:03.86</x:v>
      </x:c>
      <x:c r="G167" s="1" t="str">
        <x:f>IF(D167&gt;0,"North",IF(D167&lt;0,"South","Equator"))</x:f>
        <x:v>North</x:v>
      </x:c>
      <x:c r="H167" s="8" t="n">
        <x:f>DEGREES(ACOS(MAX(-1,MIN(1,SIN(RADIANS(D167))*SIN(RADIANS('Sources and method'!$B$5))+COS(RADIANS(D167))*COS(RADIANS('Sources and method'!$B$5))*COS(RADIANS(C167-'Sources and method'!$B$4))))))</x:f>
        <x:v>106.61927460499041</x:v>
      </x:c>
      <x:c r="I167" s="1" t="str">
        <x:v>2026-08-29T11:54:24</x:v>
      </x:c>
      <x:c r="J167" s="9" t="str"/>
      <x:c r="K167" s="9" t="str">
        <x:v>all182_cleanliness_decisions.csv</x:v>
      </x:c>
      <x:c r="L167" s="9" t="str">
        <x:v>UGC04988.phot.1.fits</x:v>
      </x:c>
      <x:c r="M167" s="9" t="str">
        <x:v>Polluted</x:v>
      </x:c>
    </x:row>
    <x:row r="168" ht="15" hidden="0" customHeight="1">
      <x:c r="A168" s="1" t="str">
        <x:v>UGC05354</x:v>
      </x:c>
      <x:c r="B168" s="1" t="str">
        <x:v>Polluted</x:v>
      </x:c>
      <x:c r="C168" s="7" t="n">
        <x:v>149.7224876153363</x:v>
      </x:c>
      <x:c r="D168" s="7" t="n">
        <x:v>47.736935423645065</x:v>
      </x:c>
      <x:c r="E168" s="1" t="str">
        <x:v>09:58:53.40</x:v>
      </x:c>
      <x:c r="F168" s="1" t="str">
        <x:v>+47:44:12.97</x:v>
      </x:c>
      <x:c r="G168" s="1" t="str">
        <x:f>IF(D168&gt;0,"North",IF(D168&lt;0,"South","Equator"))</x:f>
        <x:v>North</x:v>
      </x:c>
      <x:c r="H168" s="8" t="n">
        <x:f>DEGREES(ACOS(MAX(-1,MIN(1,SIN(RADIANS(D168))*SIN(RADIANS('Sources and method'!$B$5))+COS(RADIANS(D168))*COS(RADIANS('Sources and method'!$B$5))*COS(RADIANS(C168-'Sources and method'!$B$4))))))</x:f>
        <x:v>118.55182814082372</x:v>
      </x:c>
      <x:c r="I168" s="1" t="str">
        <x:v>2026-08-29T11:55:45</x:v>
      </x:c>
      <x:c r="J168" s="9" t="str"/>
      <x:c r="K168" s="9" t="str">
        <x:v>all182_cleanliness_decisions.csv</x:v>
      </x:c>
      <x:c r="L168" s="9" t="str">
        <x:v>UGC05354.phot.1.fits</x:v>
      </x:c>
      <x:c r="M168" s="9" t="str">
        <x:v>Polluted</x:v>
      </x:c>
    </x:row>
    <x:row r="169" ht="15" hidden="0" customHeight="1">
      <x:c r="A169" s="1" t="str">
        <x:v>UGC05393</x:v>
      </x:c>
      <x:c r="B169" s="1" t="str">
        <x:v>Unreviewed</x:v>
      </x:c>
      <x:c r="C169" s="7" t="n">
        <x:v>150.42567223929169</x:v>
      </x:c>
      <x:c r="D169" s="7" t="n">
        <x:v>33.13613333227422</x:v>
      </x:c>
      <x:c r="E169" s="1" t="str">
        <x:v>10:01:42.16</x:v>
      </x:c>
      <x:c r="F169" s="1" t="str">
        <x:v>+33:08:10.08</x:v>
      </x:c>
      <x:c r="G169" s="1" t="str">
        <x:f>IF(D169&gt;0,"North",IF(D169&lt;0,"South","Equator"))</x:f>
        <x:v>North</x:v>
      </x:c>
      <x:c r="H169" s="8" t="n">
        <x:f>DEGREES(ACOS(MAX(-1,MIN(1,SIN(RADIANS(D169))*SIN(RADIANS('Sources and method'!$B$5))+COS(RADIANS(D169))*COS(RADIANS('Sources and method'!$B$5))*COS(RADIANS(C169-'Sources and method'!$B$4))))))</x:f>
        <x:v>112.70797859203587</x:v>
      </x:c>
      <x:c r="I169" s="1" t="str"/>
      <x:c r="J169" s="9" t="str"/>
      <x:c r="K169" s="9" t="str">
        <x:v>No recorded categorical review</x:v>
      </x:c>
      <x:c r="L169" s="9" t="str">
        <x:v>UGC05393.phot.1.fits</x:v>
      </x:c>
      <x:c r="M169" s="9" t="str">
        <x:v>Unreviewed</x:v>
      </x:c>
    </x:row>
    <x:row r="170" ht="15" hidden="0" customHeight="1">
      <x:c r="A170" s="1" t="str">
        <x:v>UGC05633</x:v>
      </x:c>
      <x:c r="B170" s="1" t="str">
        <x:v>Unreviewed</x:v>
      </x:c>
      <x:c r="C170" s="7" t="n">
        <x:v>156.1670986594201</x:v>
      </x:c>
      <x:c r="D170" s="7" t="n">
        <x:v>14.756817515074337</x:v>
      </x:c>
      <x:c r="E170" s="1" t="str">
        <x:v>10:24:40.10</x:v>
      </x:c>
      <x:c r="F170" s="1" t="str">
        <x:v>+14:45:24.54</x:v>
      </x:c>
      <x:c r="G170" s="1" t="str">
        <x:f>IF(D170&gt;0,"North",IF(D170&lt;0,"South","Equator"))</x:f>
        <x:v>North</x:v>
      </x:c>
      <x:c r="H170" s="8" t="n">
        <x:f>DEGREES(ACOS(MAX(-1,MIN(1,SIN(RADIANS(D170))*SIN(RADIANS('Sources and method'!$B$5))+COS(RADIANS(D170))*COS(RADIANS('Sources and method'!$B$5))*COS(RADIANS(C170-'Sources and method'!$B$4))))))</x:f>
        <x:v>107.78260815207966</x:v>
      </x:c>
      <x:c r="I170" s="1" t="str"/>
      <x:c r="J170" s="9" t="str"/>
      <x:c r="K170" s="9" t="str">
        <x:v>No recorded categorical review</x:v>
      </x:c>
      <x:c r="L170" s="9" t="str">
        <x:v>UGC05633.phot.1.fits</x:v>
      </x:c>
      <x:c r="M170" s="9" t="str">
        <x:v>Unreviewed</x:v>
      </x:c>
    </x:row>
    <x:row r="171" ht="15" hidden="0" customHeight="1">
      <x:c r="A171" s="1" t="str">
        <x:v>UGC05832</x:v>
      </x:c>
      <x:c r="B171" s="1" t="str">
        <x:v>Polluted</x:v>
      </x:c>
      <x:c r="C171" s="7" t="n">
        <x:v>160.70180366122767</x:v>
      </x:c>
      <x:c r="D171" s="7" t="n">
        <x:v>13.459813339111694</x:v>
      </x:c>
      <x:c r="E171" s="1" t="str">
        <x:v>10:42:48.43</x:v>
      </x:c>
      <x:c r="F171" s="1" t="str">
        <x:v>+13:27:35.33</x:v>
      </x:c>
      <x:c r="G171" s="1" t="str">
        <x:f>IF(D171&gt;0,"North",IF(D171&lt;0,"South","Equator"))</x:f>
        <x:v>North</x:v>
      </x:c>
      <x:c r="H171" s="8" t="n">
        <x:f>DEGREES(ACOS(MAX(-1,MIN(1,SIN(RADIANS(D171))*SIN(RADIANS('Sources and method'!$B$5))+COS(RADIANS(D171))*COS(RADIANS('Sources and method'!$B$5))*COS(RADIANS(C171-'Sources and method'!$B$4))))))</x:f>
        <x:v>110.7594738605037</x:v>
      </x:c>
      <x:c r="I171" s="1" t="str">
        <x:v>2026-08-29T11:54:36</x:v>
      </x:c>
      <x:c r="J171" s="9" t="str"/>
      <x:c r="K171" s="9" t="str">
        <x:v>all182_cleanliness_decisions.csv</x:v>
      </x:c>
      <x:c r="L171" s="9" t="str">
        <x:v>UGC05832.phot.1.fits</x:v>
      </x:c>
      <x:c r="M171" s="9" t="str">
        <x:v>Polluted</x:v>
      </x:c>
    </x:row>
    <x:row r="172" ht="15" hidden="0" customHeight="1">
      <x:c r="A172" s="1" t="str">
        <x:v>UGC06682</x:v>
      </x:c>
      <x:c r="B172" s="1" t="str">
        <x:v>Unreviewed</x:v>
      </x:c>
      <x:c r="C172" s="7" t="n">
        <x:v>175.78683154319367</x:v>
      </x:c>
      <x:c r="D172" s="7" t="n">
        <x:v>59.10637291539882</x:v>
      </x:c>
      <x:c r="E172" s="1" t="str">
        <x:v>11:43:08.84</x:v>
      </x:c>
      <x:c r="F172" s="1" t="str">
        <x:v>+59:06:22.94</x:v>
      </x:c>
      <x:c r="G172" s="1" t="str">
        <x:f>IF(D172&gt;0,"North",IF(D172&lt;0,"South","Equator"))</x:f>
        <x:v>North</x:v>
      </x:c>
      <x:c r="H172" s="8" t="n">
        <x:f>DEGREES(ACOS(MAX(-1,MIN(1,SIN(RADIANS(D172))*SIN(RADIANS('Sources and method'!$B$5))+COS(RADIANS(D172))*COS(RADIANS('Sources and method'!$B$5))*COS(RADIANS(C172-'Sources and method'!$B$4))))))</x:f>
        <x:v>135.57512574083052</x:v>
      </x:c>
      <x:c r="I172" s="1" t="str"/>
      <x:c r="J172" s="9" t="str"/>
      <x:c r="K172" s="9" t="str">
        <x:v>No recorded categorical review</x:v>
      </x:c>
      <x:c r="L172" s="9" t="str">
        <x:v>UGC06682.phot.1.fits</x:v>
      </x:c>
      <x:c r="M172" s="9" t="str">
        <x:v>Unreviewed</x:v>
      </x:c>
    </x:row>
    <x:row r="173" ht="15" hidden="0" customHeight="1">
      <x:c r="A173" s="1" t="str">
        <x:v>UGC06840</x:v>
      </x:c>
      <x:c r="B173" s="1" t="str">
        <x:v>Unreviewed</x:v>
      </x:c>
      <x:c r="C173" s="7" t="n">
        <x:v>178.02942250883015</x:v>
      </x:c>
      <x:c r="D173" s="7" t="n">
        <x:v>52.1079770848544</x:v>
      </x:c>
      <x:c r="E173" s="1" t="str">
        <x:v>11:52:07.06</x:v>
      </x:c>
      <x:c r="F173" s="1" t="str">
        <x:v>+52:06:28.72</x:v>
      </x:c>
      <x:c r="G173" s="1" t="str">
        <x:f>IF(D173&gt;0,"North",IF(D173&lt;0,"South","Equator"))</x:f>
        <x:v>North</x:v>
      </x:c>
      <x:c r="H173" s="8" t="n">
        <x:f>DEGREES(ACOS(MAX(-1,MIN(1,SIN(RADIANS(D173))*SIN(RADIANS('Sources and method'!$B$5))+COS(RADIANS(D173))*COS(RADIANS('Sources and method'!$B$5))*COS(RADIANS(C173-'Sources and method'!$B$4))))))</x:f>
        <x:v>137.1549214716323</x:v>
      </x:c>
      <x:c r="I173" s="1" t="str"/>
      <x:c r="J173" s="9" t="str"/>
      <x:c r="K173" s="9" t="str">
        <x:v>No recorded categorical review</x:v>
      </x:c>
      <x:c r="L173" s="9" t="str">
        <x:v>UGC06840.phot.1.fits</x:v>
      </x:c>
      <x:c r="M173" s="9" t="str">
        <x:v>Unreviewed</x:v>
      </x:c>
    </x:row>
    <x:row r="174" ht="15" hidden="0" customHeight="1">
      <x:c r="A174" s="1" t="str">
        <x:v>UGC06931</x:v>
      </x:c>
      <x:c r="B174" s="1" t="str">
        <x:v>Unreviewed</x:v>
      </x:c>
      <x:c r="C174" s="7" t="n">
        <x:v>179.35385013679004</x:v>
      </x:c>
      <x:c r="D174" s="7" t="n">
        <x:v>57.92966339536616</x:v>
      </x:c>
      <x:c r="E174" s="1" t="str">
        <x:v>11:57:24.92</x:v>
      </x:c>
      <x:c r="F174" s="1" t="str">
        <x:v>+57:55:46.79</x:v>
      </x:c>
      <x:c r="G174" s="1" t="str">
        <x:f>IF(D174&gt;0,"North",IF(D174&lt;0,"South","Equator"))</x:f>
        <x:v>North</x:v>
      </x:c>
      <x:c r="H174" s="8" t="n">
        <x:f>DEGREES(ACOS(MAX(-1,MIN(1,SIN(RADIANS(D174))*SIN(RADIANS('Sources and method'!$B$5))+COS(RADIANS(D174))*COS(RADIANS('Sources and method'!$B$5))*COS(RADIANS(C174-'Sources and method'!$B$4))))))</x:f>
        <x:v>137.55491124482987</x:v>
      </x:c>
      <x:c r="I174" s="1" t="str"/>
      <x:c r="J174" s="9" t="str"/>
      <x:c r="K174" s="9" t="str">
        <x:v>No recorded categorical review</x:v>
      </x:c>
      <x:c r="L174" s="9" t="str">
        <x:v>UGC06931.phot.1.fits</x:v>
      </x:c>
      <x:c r="M174" s="9" t="str">
        <x:v>Unreviewed</x:v>
      </x:c>
    </x:row>
    <x:row r="175" ht="15" hidden="0" customHeight="1">
      <x:c r="A175" s="1" t="str">
        <x:v>UGC06983</x:v>
      </x:c>
      <x:c r="B175" s="1" t="str">
        <x:v>Polluted</x:v>
      </x:c>
      <x:c r="C175" s="7" t="n">
        <x:v>179.78992054466542</x:v>
      </x:c>
      <x:c r="D175" s="7" t="n">
        <x:v>52.707556670859276</x:v>
      </x:c>
      <x:c r="E175" s="1" t="str">
        <x:v>11:59:09.58</x:v>
      </x:c>
      <x:c r="F175" s="1" t="str">
        <x:v>+52:42:27.20</x:v>
      </x:c>
      <x:c r="G175" s="1" t="str">
        <x:f>IF(D175&gt;0,"North",IF(D175&lt;0,"South","Equator"))</x:f>
        <x:v>North</x:v>
      </x:c>
      <x:c r="H175" s="8" t="n">
        <x:f>DEGREES(ACOS(MAX(-1,MIN(1,SIN(RADIANS(D175))*SIN(RADIANS('Sources and method'!$B$5))+COS(RADIANS(D175))*COS(RADIANS('Sources and method'!$B$5))*COS(RADIANS(C175-'Sources and method'!$B$4))))))</x:f>
        <x:v>138.21993935944613</x:v>
      </x:c>
      <x:c r="I175" s="1" t="str">
        <x:v>2026-08-29T11:54:54</x:v>
      </x:c>
      <x:c r="J175" s="9" t="str"/>
      <x:c r="K175" s="9" t="str">
        <x:v>all182_cleanliness_decisions.csv</x:v>
      </x:c>
      <x:c r="L175" s="9" t="str">
        <x:v>UGC06983.phot.1.fits</x:v>
      </x:c>
      <x:c r="M175" s="9" t="str">
        <x:v>Polluted</x:v>
      </x:c>
    </x:row>
    <x:row r="176" ht="15" hidden="0" customHeight="1">
      <x:c r="A176" s="1" t="str">
        <x:v>UGC07129</x:v>
      </x:c>
      <x:c r="B176" s="1" t="str">
        <x:v>Polluted</x:v>
      </x:c>
      <x:c r="C176" s="7" t="n">
        <x:v>182.2295086397178</x:v>
      </x:c>
      <x:c r="D176" s="7" t="n">
        <x:v>41.74085625614446</x:v>
      </x:c>
      <x:c r="E176" s="1" t="str">
        <x:v>12:08:55.08</x:v>
      </x:c>
      <x:c r="F176" s="1" t="str">
        <x:v>+41:44:27.08</x:v>
      </x:c>
      <x:c r="G176" s="1" t="str">
        <x:f>IF(D176&gt;0,"North",IF(D176&lt;0,"South","Equator"))</x:f>
        <x:v>North</x:v>
      </x:c>
      <x:c r="H176" s="8" t="n">
        <x:f>DEGREES(ACOS(MAX(-1,MIN(1,SIN(RADIANS(D176))*SIN(RADIANS('Sources and method'!$B$5))+COS(RADIANS(D176))*COS(RADIANS('Sources and method'!$B$5))*COS(RADIANS(C176-'Sources and method'!$B$4))))))</x:f>
        <x:v>139.20764185982875</x:v>
      </x:c>
      <x:c r="I176" s="1" t="str">
        <x:v>2026-08-29T11:55:19</x:v>
      </x:c>
      <x:c r="J176" s="9" t="str"/>
      <x:c r="K176" s="9" t="str">
        <x:v>all182_cleanliness_decisions.csv</x:v>
      </x:c>
      <x:c r="L176" s="9" t="str">
        <x:v>UGC07129.phot.1.fits</x:v>
      </x:c>
      <x:c r="M176" s="9" t="str">
        <x:v>Polluted</x:v>
      </x:c>
    </x:row>
    <x:row r="177" ht="15" hidden="0" customHeight="1">
      <x:c r="A177" s="1" t="str">
        <x:v>UGC07257</x:v>
      </x:c>
      <x:c r="B177" s="1" t="str">
        <x:v>Unreviewed</x:v>
      </x:c>
      <x:c r="C177" s="7" t="n">
        <x:v>183.76212940719904</x:v>
      </x:c>
      <x:c r="D177" s="7" t="n">
        <x:v>35.95905877627129</x:v>
      </x:c>
      <x:c r="E177" s="1" t="str">
        <x:v>12:15:02.91</x:v>
      </x:c>
      <x:c r="F177" s="1" t="str">
        <x:v>+35:57:32.61</x:v>
      </x:c>
      <x:c r="G177" s="1" t="str">
        <x:f>IF(D177&gt;0,"North",IF(D177&lt;0,"South","Equator"))</x:f>
        <x:v>North</x:v>
      </x:c>
      <x:c r="H177" s="8" t="n">
        <x:f>DEGREES(ACOS(MAX(-1,MIN(1,SIN(RADIANS(D177))*SIN(RADIANS('Sources and method'!$B$5))+COS(RADIANS(D177))*COS(RADIANS('Sources and method'!$B$5))*COS(RADIANS(C177-'Sources and method'!$B$4))))))</x:f>
        <x:v>139.18304657878681</x:v>
      </x:c>
      <x:c r="I177" s="1" t="str"/>
      <x:c r="J177" s="9" t="str"/>
      <x:c r="K177" s="9" t="str">
        <x:v>No recorded categorical review</x:v>
      </x:c>
      <x:c r="L177" s="9" t="str">
        <x:v>UGC07257.phot.1.fits</x:v>
      </x:c>
      <x:c r="M177" s="9" t="str">
        <x:v>Unreviewed</x:v>
      </x:c>
    </x:row>
    <x:row r="178" ht="15" hidden="0" customHeight="1">
      <x:c r="A178" s="1" t="str">
        <x:v>UGC07612</x:v>
      </x:c>
      <x:c r="B178" s="1" t="str">
        <x:v>Unreviewed</x:v>
      </x:c>
      <x:c r="C178" s="7" t="n">
        <x:v>187.25944005273573</x:v>
      </x:c>
      <x:c r="D178" s="7" t="n">
        <x:v>2.7218147579516043</x:v>
      </x:c>
      <x:c r="E178" s="1" t="str">
        <x:v>12:29:02.27</x:v>
      </x:c>
      <x:c r="F178" s="1" t="str">
        <x:v>+02:43:18.53</x:v>
      </x:c>
      <x:c r="G178" s="1" t="str">
        <x:f>IF(D178&gt;0,"North",IF(D178&lt;0,"South","Equator"))</x:f>
        <x:v>North</x:v>
      </x:c>
      <x:c r="H178" s="8" t="n">
        <x:f>DEGREES(ACOS(MAX(-1,MIN(1,SIN(RADIANS(D178))*SIN(RADIANS('Sources and method'!$B$5))+COS(RADIANS(D178))*COS(RADIANS('Sources and method'!$B$5))*COS(RADIANS(C178-'Sources and method'!$B$4))))))</x:f>
        <x:v>125.36008778510063</x:v>
      </x:c>
      <x:c r="I178" s="1" t="str"/>
      <x:c r="J178" s="9" t="str"/>
      <x:c r="K178" s="9" t="str">
        <x:v>No recorded categorical review</x:v>
      </x:c>
      <x:c r="L178" s="9" t="str">
        <x:v>UGC07612.phot.1.fits</x:v>
      </x:c>
      <x:c r="M178" s="9" t="str">
        <x:v>Unreviewed</x:v>
      </x:c>
    </x:row>
    <x:row r="179" ht="15" hidden="0" customHeight="1">
      <x:c r="A179" s="1" t="str">
        <x:v>UGC07911</x:v>
      </x:c>
      <x:c r="B179" s="1" t="str">
        <x:v>Polluted</x:v>
      </x:c>
      <x:c r="C179" s="7" t="n">
        <x:v>191.1200062566901</x:v>
      </x:c>
      <x:c r="D179" s="7" t="n">
        <x:v>0.46791291890372194</x:v>
      </x:c>
      <x:c r="E179" s="1" t="str">
        <x:v>12:44:28.80</x:v>
      </x:c>
      <x:c r="F179" s="1" t="str">
        <x:v>+00:28:04.49</x:v>
      </x:c>
      <x:c r="G179" s="1" t="str">
        <x:f>IF(D179&gt;0,"North",IF(D179&lt;0,"South","Equator"))</x:f>
        <x:v>North</x:v>
      </x:c>
      <x:c r="H179" s="8" t="n">
        <x:f>DEGREES(ACOS(MAX(-1,MIN(1,SIN(RADIANS(D179))*SIN(RADIANS('Sources and method'!$B$5))+COS(RADIANS(D179))*COS(RADIANS('Sources and method'!$B$5))*COS(RADIANS(C179-'Sources and method'!$B$4))))))</x:f>
        <x:v>126.55583585936415</x:v>
      </x:c>
      <x:c r="I179" s="1" t="str">
        <x:v>2026-08-27T19:42:26</x:v>
      </x:c>
      <x:c r="J179" s="9" t="str"/>
      <x:c r="K179" s="9" t="str">
        <x:v>blind_remaining_decisions.csv</x:v>
      </x:c>
      <x:c r="L179" s="9" t="str">
        <x:v>UGC07911.phot.1.fits</x:v>
      </x:c>
      <x:c r="M179" s="9" t="str">
        <x:v>Unreviewed</x:v>
      </x:c>
    </x:row>
    <x:row r="180" ht="15" hidden="0" customHeight="1">
      <x:c r="A180" s="1" t="str">
        <x:v>UGC08385</x:v>
      </x:c>
      <x:c r="B180" s="1" t="str">
        <x:v>Polluted</x:v>
      </x:c>
      <x:c r="C180" s="7" t="n">
        <x:v>200.1589223257249</x:v>
      </x:c>
      <x:c r="D180" s="7" t="n">
        <x:v>9.78749333689227</x:v>
      </x:c>
      <x:c r="E180" s="1" t="str">
        <x:v>13:20:38.14</x:v>
      </x:c>
      <x:c r="F180" s="1" t="str">
        <x:v>+09:47:14.98</x:v>
      </x:c>
      <x:c r="G180" s="1" t="str">
        <x:f>IF(D180&gt;0,"North",IF(D180&lt;0,"South","Equator"))</x:f>
        <x:v>North</x:v>
      </x:c>
      <x:c r="H180" s="8" t="n">
        <x:f>DEGREES(ACOS(MAX(-1,MIN(1,SIN(RADIANS(D180))*SIN(RADIANS('Sources and method'!$B$5))+COS(RADIANS(D180))*COS(RADIANS('Sources and method'!$B$5))*COS(RADIANS(C180-'Sources and method'!$B$4))))))</x:f>
        <x:v>139.50567700204493</x:v>
      </x:c>
      <x:c r="I180" s="1" t="str">
        <x:v>2026-08-27T19:40:36</x:v>
      </x:c>
      <x:c r="J180" s="9" t="str"/>
      <x:c r="K180" s="9" t="str">
        <x:v>blind_remaining_decisions.csv</x:v>
      </x:c>
      <x:c r="L180" s="9" t="str">
        <x:v>UGC08385.phot.1.fits</x:v>
      </x:c>
      <x:c r="M180" s="9" t="str">
        <x:v>Unreviewed</x:v>
      </x:c>
    </x:row>
    <x:row r="181" ht="15" hidden="0" customHeight="1">
      <x:c r="A181" s="1" t="str">
        <x:v>UGC08489</x:v>
      </x:c>
      <x:c r="B181" s="1" t="str">
        <x:v>Unreviewed</x:v>
      </x:c>
      <x:c r="C181" s="7" t="n">
        <x:v>202.41118388048284</x:v>
      </x:c>
      <x:c r="D181" s="7" t="n">
        <x:v>45.387928751472536</x:v>
      </x:c>
      <x:c r="E181" s="1" t="str">
        <x:v>13:29:38.68</x:v>
      </x:c>
      <x:c r="F181" s="1" t="str">
        <x:v>+45:23:16.54</x:v>
      </x:c>
      <x:c r="G181" s="1" t="str">
        <x:f>IF(D181&gt;0,"North",IF(D181&lt;0,"South","Equator"))</x:f>
        <x:v>North</x:v>
      </x:c>
      <x:c r="H181" s="8" t="n">
        <x:f>DEGREES(ACOS(MAX(-1,MIN(1,SIN(RADIANS(D181))*SIN(RADIANS('Sources and method'!$B$5))+COS(RADIANS(D181))*COS(RADIANS('Sources and method'!$B$5))*COS(RADIANS(C181-'Sources and method'!$B$4))))))</x:f>
        <x:v>153.76007407878757</x:v>
      </x:c>
      <x:c r="I181" s="1" t="str"/>
      <x:c r="J181" s="9" t="str"/>
      <x:c r="K181" s="9" t="str">
        <x:v>No recorded categorical review</x:v>
      </x:c>
      <x:c r="L181" s="9" t="str">
        <x:v>UGC08489.phot.1.fits</x:v>
      </x:c>
      <x:c r="M181" s="9" t="str">
        <x:v>Unreviewed</x:v>
      </x:c>
    </x:row>
    <x:row r="182" ht="15" hidden="0" customHeight="1">
      <x:c r="A182" s="1" t="str">
        <x:v>UGC08507</x:v>
      </x:c>
      <x:c r="B182" s="1" t="str">
        <x:v>Unreviewed</x:v>
      </x:c>
      <x:c r="C182" s="7" t="n">
        <x:v>202.745302096066</x:v>
      </x:c>
      <x:c r="D182" s="7" t="n">
        <x:v>19.437566883750314</x:v>
      </x:c>
      <x:c r="E182" s="1" t="str">
        <x:v>13:30:58.87</x:v>
      </x:c>
      <x:c r="F182" s="1" t="str">
        <x:v>+19:26:15.24</x:v>
      </x:c>
      <x:c r="G182" s="1" t="str">
        <x:f>IF(D182&gt;0,"North",IF(D182&lt;0,"South","Equator"))</x:f>
        <x:v>North</x:v>
      </x:c>
      <x:c r="H182" s="8" t="n">
        <x:f>DEGREES(ACOS(MAX(-1,MIN(1,SIN(RADIANS(D182))*SIN(RADIANS('Sources and method'!$B$5))+COS(RADIANS(D182))*COS(RADIANS('Sources and method'!$B$5))*COS(RADIANS(C182-'Sources and method'!$B$4))))))</x:f>
        <x:v>147.70960737348975</x:v>
      </x:c>
      <x:c r="I182" s="1" t="str"/>
      <x:c r="J182" s="9" t="str"/>
      <x:c r="K182" s="9" t="str">
        <x:v>No recorded categorical review</x:v>
      </x:c>
      <x:c r="L182" s="9" t="str">
        <x:v>UGC08507.phot.1.fits</x:v>
      </x:c>
      <x:c r="M182" s="9" t="str">
        <x:v>Unreviewed</x:v>
      </x:c>
    </x:row>
    <x:row r="183" ht="15" hidden="0" customHeight="1">
      <x:c r="A183" s="1" t="str">
        <x:v>UGC08851</x:v>
      </x:c>
      <x:c r="B183" s="1" t="str">
        <x:v>Polluted</x:v>
      </x:c>
      <x:c r="C183" s="7" t="n">
        <x:v>208.90975688130658</x:v>
      </x:c>
      <x:c r="D183" s="7" t="n">
        <x:v>39.71586083274459</x:v>
      </x:c>
      <x:c r="E183" s="1" t="str">
        <x:v>13:55:38.34</x:v>
      </x:c>
      <x:c r="F183" s="1" t="str">
        <x:v>+39:42:57.10</x:v>
      </x:c>
      <x:c r="G183" s="1" t="str">
        <x:f>IF(D183&gt;0,"North",IF(D183&lt;0,"South","Equator"))</x:f>
        <x:v>North</x:v>
      </x:c>
      <x:c r="H183" s="8" t="n">
        <x:f>DEGREES(ACOS(MAX(-1,MIN(1,SIN(RADIANS(D183))*SIN(RADIANS('Sources and method'!$B$5))+COS(RADIANS(D183))*COS(RADIANS('Sources and method'!$B$5))*COS(RADIANS(C183-'Sources and method'!$B$4))))))</x:f>
        <x:v>159.25874924417204</x:v>
      </x:c>
      <x:c r="I183" s="1" t="str">
        <x:v>2026-08-29T11:54:22</x:v>
      </x:c>
      <x:c r="J183" s="9" t="str"/>
      <x:c r="K183" s="9" t="str">
        <x:v>all182_cleanliness_decisions.csv</x:v>
      </x:c>
      <x:c r="L183" s="9" t="str">
        <x:v>UGC08851.phot.1.fits</x:v>
      </x:c>
      <x:c r="M183" s="9" t="str">
        <x:v>Polluted</x:v>
      </x:c>
    </x:row>
    <x:row r="184" ht="15" hidden="0" customHeight="1">
      <x:c r="A184" s="1" t="str">
        <x:v>UGC09245</x:v>
      </x:c>
      <x:c r="B184" s="1" t="str">
        <x:v>Polluted</x:v>
      </x:c>
      <x:c r="C184" s="7" t="n">
        <x:v>216.3618485715624</x:v>
      </x:c>
      <x:c r="D184" s="7" t="n">
        <x:v>56.320090414057546</x:v>
      </x:c>
      <x:c r="E184" s="1" t="str">
        <x:v>14:25:26.84</x:v>
      </x:c>
      <x:c r="F184" s="1" t="str">
        <x:v>+56:19:12.33</x:v>
      </x:c>
      <x:c r="G184" s="1" t="str">
        <x:f>IF(D184&gt;0,"North",IF(D184&lt;0,"South","Equator"))</x:f>
        <x:v>North</x:v>
      </x:c>
      <x:c r="H184" s="8" t="n">
        <x:f>DEGREES(ACOS(MAX(-1,MIN(1,SIN(RADIANS(D184))*SIN(RADIANS('Sources and method'!$B$5))+COS(RADIANS(D184))*COS(RADIANS('Sources and method'!$B$5))*COS(RADIANS(C184-'Sources and method'!$B$4))))))</x:f>
        <x:v>155.73421960750534</x:v>
      </x:c>
      <x:c r="I184" s="1" t="str">
        <x:v>2026-08-27T19:42:11</x:v>
      </x:c>
      <x:c r="J184" s="9" t="str"/>
      <x:c r="K184" s="9" t="str">
        <x:v>blind_remaining_decisions.csv</x:v>
      </x:c>
      <x:c r="L184" s="9" t="str">
        <x:v>UGC09245.phot.1.fits</x:v>
      </x:c>
      <x:c r="M184" s="9" t="str">
        <x:v>Unreviewed</x:v>
      </x:c>
    </x:row>
    <x:row r="185" ht="15" hidden="0" customHeight="1">
      <x:c r="A185" s="1" t="str">
        <x:v>UGC09661</x:v>
      </x:c>
      <x:c r="B185" s="1" t="str">
        <x:v>Polluted</x:v>
      </x:c>
      <x:c r="C185" s="7" t="n">
        <x:v>225.51475614126304</x:v>
      </x:c>
      <x:c r="D185" s="7" t="n">
        <x:v>1.8413571080278701</x:v>
      </x:c>
      <x:c r="E185" s="1" t="str">
        <x:v>15:02:03.54</x:v>
      </x:c>
      <x:c r="F185" s="1" t="str">
        <x:v>+01:50:28.89</x:v>
      </x:c>
      <x:c r="G185" s="1" t="str">
        <x:f>IF(D185&gt;0,"North",IF(D185&lt;0,"South","Equator"))</x:f>
        <x:v>North</x:v>
      </x:c>
      <x:c r="H185" s="8" t="n">
        <x:f>DEGREES(ACOS(MAX(-1,MIN(1,SIN(RADIANS(D185))*SIN(RADIANS('Sources and method'!$B$5))+COS(RADIANS(D185))*COS(RADIANS('Sources and method'!$B$5))*COS(RADIANS(C185-'Sources and method'!$B$4))))))</x:f>
        <x:v>145.34274795110613</x:v>
      </x:c>
      <x:c r="I185" s="1" t="str">
        <x:v>2026-08-29T11:54:16</x:v>
      </x:c>
      <x:c r="J185" s="9" t="str"/>
      <x:c r="K185" s="9" t="str">
        <x:v>all182_cleanliness_decisions.csv</x:v>
      </x:c>
      <x:c r="L185" s="9" t="str">
        <x:v>UGC09661.phot.1.fits</x:v>
      </x:c>
      <x:c r="M185" s="9" t="str">
        <x:v>Polluted</x:v>
      </x:c>
    </x:row>
    <x:row r="186" ht="15" hidden="0" customHeight="1">
      <x:c r="A186" s="1" t="str">
        <x:v>UGC12151</x:v>
      </x:c>
      <x:c r="B186" s="1" t="str">
        <x:v>Polluted</x:v>
      </x:c>
      <x:c r="C186" s="7" t="n">
        <x:v>340.3911520836751</x:v>
      </x:c>
      <x:c r="D186" s="7" t="n">
        <x:v>0.4005308457999406</x:v>
      </x:c>
      <x:c r="E186" s="1" t="str">
        <x:v>22:41:33.88</x:v>
      </x:c>
      <x:c r="F186" s="1" t="str">
        <x:v>+00:24:01.91</x:v>
      </x:c>
      <x:c r="G186" s="1" t="str">
        <x:f>IF(D186&gt;0,"North",IF(D186&lt;0,"South","Equator"))</x:f>
        <x:v>North</x:v>
      </x:c>
      <x:c r="H186" s="8" t="n">
        <x:f>DEGREES(ACOS(MAX(-1,MIN(1,SIN(RADIANS(D186))*SIN(RADIANS('Sources and method'!$B$5))+COS(RADIANS(D186))*COS(RADIANS('Sources and method'!$B$5))*COS(RADIANS(C186-'Sources and method'!$B$4))))))</x:f>
        <x:v>77.44758366655768</x:v>
      </x:c>
      <x:c r="I186" s="1" t="str">
        <x:v>2026-08-29T11:54:39</x:v>
      </x:c>
      <x:c r="J186" s="9" t="str"/>
      <x:c r="K186" s="9" t="str">
        <x:v>all182_cleanliness_decisions.csv</x:v>
      </x:c>
      <x:c r="L186" s="9" t="str">
        <x:v>UGC12151.phot.1.fits</x:v>
      </x:c>
      <x:c r="M186" s="9" t="str">
        <x:v>Polluted</x:v>
      </x:c>
    </x:row>
  </x:sheetData>
  <x:conditionalFormatting sqref="B5:B186">
    <x:cfRule type="expression" dxfId="0" priority="1">
      <x:formula>B5="Clean"</x:formula>
    </x:cfRule>
    <x:cfRule type="expression" dxfId="1" priority="2">
      <x:formula>B5="Ambiguous"</x:formula>
    </x:cfRule>
    <x:cfRule type="expression" dxfId="2" priority="3">
      <x:formula>B5="Polluted"</x:formula>
    </x:cfRule>
    <x:cfRule type="expression" dxfId="3" priority="4">
      <x:formula>B5="Unreviewed"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907ebb952d44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5" hidden="0" customWidth="1"/>
    <x:col min="3" max="3" width="80" hidden="0" customWidth="1"/>
  </x:cols>
  <x:sheetData>
    <x:row r="1" ht="22" customHeight="1">
      <x:c r="A1" s="2" t="str">
        <x:v>Sources and method</x:v>
      </x:c>
      <x:c r="B1" s="1"/>
      <x:c r="C1" s="1"/>
    </x:row>
    <x:row r="2" ht="22" customHeight="1">
      <x:c r="A2" s="1"/>
      <x:c r="B2" s="1"/>
      <x:c r="C2" s="1"/>
    </x:row>
    <x:row r="3" ht="25" customHeight="1">
      <x:c r="A3" s="5" t="str">
        <x:v>Reference</x:v>
      </x:c>
      <x:c r="B3" s="5" t="str">
        <x:v>Value</x:v>
      </x:c>
      <x:c r="C3" s="5" t="str">
        <x:v>Source URL</x:v>
      </x:c>
    </x:row>
    <x:row r="4" ht="22" customHeight="1">
      <x:c r="A4" s="1" t="str">
        <x:v>Fornax centre RA (deg)</x:v>
      </x:c>
      <x:c r="B4" s="7" t="n">
        <x:v>54.62117916666667</x:v>
      </x:c>
      <x:c r="C4" s="9" t="str">
        <x:v>https://simbad.cds.unistra.fr/simbad/sim-id?Ident=NGC+1399</x:v>
      </x:c>
    </x:row>
    <x:row r="5" ht="22" customHeight="1">
      <x:c r="A5" s="1" t="str">
        <x:v>Fornax centre Dec (deg)</x:v>
      </x:c>
      <x:c r="B5" s="7" t="n">
        <x:v>-35.45074166666667</x:v>
      </x:c>
      <x:c r="C5" s="9" t="str">
        <x:v>https://simbad.cds.unistra.fr/simbad/sim-id?Ident=NGC+1399</x:v>
      </x:c>
    </x:row>
    <x:row r="6" ht="44" customHeight="1">
      <x:c r="A6" s="1" t="str">
        <x:v>Adopted Fornax centre</x:v>
      </x:c>
      <x:c r="B6" s="1" t="str">
        <x:v>NGC 1399</x:v>
      </x:c>
      <x:c r="C6" s="9" t="str">
        <x:v>https://almascience.eso.org/alma-data/science-verification/sv-noticeboard-subpages/science-verification-fornax-cluster</x:v>
      </x:c>
    </x:row>
    <x:row r="7" ht="22" customHeight="1">
      <x:c r="A7" s="1"/>
      <x:c r="B7" s="1"/>
      <x:c r="C7" s="1"/>
    </x:row>
    <x:row r="8" ht="25" hidden="0" customHeight="1">
      <x:c r="A8" s="6" t="str">
        <x:v>Item</x:v>
      </x:c>
      <x:c r="B8" s="6" t="str">
        <x:v>Definition</x:v>
      </x:c>
      <x:c r="C8" s="1"/>
    </x:row>
    <x:row r="9" ht="15" hidden="0" customHeight="1">
      <x:c r="A9" s="9" t="str">
        <x:v>Population</x:v>
      </x:c>
      <x:c r="B9" s="9" t="str">
        <x:v>All 182 unique galaxies in s4g_image_geometry_manifest.csv, the default manifest used by the interactive tool.</x:v>
      </x:c>
      <x:c r="C9" s="1"/>
    </x:row>
    <x:row r="10" ht="26.399999618530273" hidden="0" customHeight="1">
      <x:c r="A10" s="9" t="str">
        <x:v>Status</x:v>
      </x:c>
      <x:c r="B10" s="9" t="str">
        <x:v>Latest dated categorical decision for each galaxy across catalogue and blind reviews. Severity scores are independent and are not converted into categorical labels.</x:v>
      </x:c>
      <x:c r="C10" s="1"/>
    </x:row>
    <x:row r="11" ht="15" hidden="0" customHeight="1">
      <x:c r="A11" s="9" t="str">
        <x:v>Unreviewed</x:v>
      </x:c>
      <x:c r="B11" s="9" t="str">
        <x:v>No categorical decision found. Missing decisions are not treated as Clean.</x:v>
      </x:c>
      <x:c r="C11" s="1"/>
    </x:row>
    <x:row r="12" ht="26.399999618530273" hidden="0" customHeight="1">
      <x:c r="A12" s="9" t="str">
        <x:v>Centre coordinates</x:v>
      </x:c>
      <x:c r="B12" s="9" t="str">
        <x:v>Adopted centre_x_pix / centre_y_pix from the manifest, in 1-based FITS pixels, transformed using each original FITS header: CD matrix, forward SIP terms where present, and inverse TAN projection.</x:v>
      </x:c>
      <x:c r="C12" s="1"/>
    </x:row>
    <x:row r="13" ht="26.399999618530273" hidden="0" customHeight="1">
      <x:c r="A13" s="9" t="str">
        <x:v>Coordinate frame</x:v>
      </x:c>
      <x:c r="B13" s="9" t="str">
        <x:v>ICRS; FITS headers record EQUINOX 2000. RA and Dec are decimal degrees, with sexagesimal copies for readability.</x:v>
      </x:c>
      <x:c r="C13" s="1"/>
    </x:row>
    <x:row r="14" ht="15" hidden="0" customHeight="1">
      <x:c r="A14" s="9" t="str">
        <x:v>Hemisphere</x:v>
      </x:c>
      <x:c r="B14" s="9" t="str">
        <x:v>North when declination &gt; 0; South when declination &lt; 0; Equator when declination = 0. This is celestial hemisphere.</x:v>
      </x:c>
      <x:c r="C14" s="1"/>
    </x:row>
    <x:row r="15" ht="26.399999618530273" hidden="0" customHeight="1">
      <x:c r="A15" s="9" t="str">
        <x:v>Fornax separation</x:v>
      </x:c>
      <x:c r="B15" s="9" t="str">
        <x:v>Great-circle angular separation from NGC 1399, not a projected physical distance or a cluster-membership determination.</x:v>
      </x:c>
      <x:c r="C15" s="1"/>
    </x:row>
    <x:row r="16" ht="26.399999618530273" hidden="0" customHeight="1">
      <x:c r="A16" s="9" t="str">
        <x:v>Fornax reference position</x:v>
      </x:c>
      <x:c r="B16" s="9" t="str">
        <x:v>03:38:29.083, -35:27:02.67 (ICRS), from SIMBAD. Reference degrees above are editable and separation formulas update.</x:v>
      </x:c>
      <x:c r="C16" s="1"/>
    </x:row>
    <x:row r="17" ht="26.399999618530273" hidden="0" customHeight="1">
      <x:c r="A17" s="9" t="str">
        <x:v>Interactive-tool status</x:v>
      </x:c>
      <x:c r="B17" s="9" t="str">
        <x:v>The tool reads only candidate_union_rereview_decisions.csv. This column preserves that display label; Status also includes later/other recorded categorical reviews.</x:v>
      </x:c>
      <x:c r="C17" s="1"/>
    </x:row>
    <x:row r="18" ht="26.399999618530273" hidden="0" customHeight="1">
      <x:c r="A18" s="9" t="str">
        <x:v>Review timestamp</x:v>
      </x:c>
      <x:c r="B18" s="9" t="str">
        <x:v>Recorded source timestamp, retained as text to preserve the original local time; source files do not specify a timezone.</x:v>
      </x:c>
      <x:c r="C18" s="1"/>
    </x:row>
    <x:row r="19" ht="15" hidden="0" customHeight="1">
      <x:c r="A19" s="9" t="str">
        <x:v>Workbook date</x:v>
      </x:c>
      <x:c r="B19" s="9" t="str">
        <x:v>2026-10-11</x:v>
      </x:c>
      <x:c r="C19" s="1"/>
    </x:row>
    <x:row r="20" ht="22" customHeight="1">
      <x:c r="A20" s="1"/>
      <x:c r="B20" s="1"/>
      <x:c r="C20" s="1"/>
    </x:row>
    <x:row r="21" ht="25" customHeight="1">
      <x:c r="A21" s="5" t="str">
        <x:v>Classification</x:v>
      </x:c>
      <x:c r="B21" s="5" t="str">
        <x:v>Count</x:v>
      </x:c>
      <x:c r="C21" s="1"/>
    </x:row>
    <x:row r="22" ht="22" customHeight="1">
      <x:c r="A22" s="1" t="str">
        <x:v>Clean</x:v>
      </x:c>
      <x:c r="B22" s="1" t="n">
        <x:f>COUNTIF('Galaxies'!$B$5:$B$186,A22)</x:f>
        <x:v>23</x:v>
      </x:c>
      <x:c r="C22" s="1"/>
    </x:row>
    <x:row r="23" ht="22" customHeight="1">
      <x:c r="A23" s="1" t="str">
        <x:v>Ambiguous</x:v>
      </x:c>
      <x:c r="B23" s="1" t="n">
        <x:f>COUNTIF('Galaxies'!$B$5:$B$186,A23)</x:f>
        <x:v>6</x:v>
      </x:c>
      <x:c r="C23" s="1"/>
    </x:row>
    <x:row r="24" ht="22" customHeight="1">
      <x:c r="A24" s="1" t="str">
        <x:v>Polluted</x:v>
      </x:c>
      <x:c r="B24" s="1" t="n">
        <x:f>COUNTIF('Galaxies'!$B$5:$B$186,A24)</x:f>
        <x:v>109</x:v>
      </x:c>
      <x:c r="C24" s="1"/>
    </x:row>
    <x:row r="25" ht="22" customHeight="1">
      <x:c r="A25" s="1" t="str">
        <x:v>Unreviewed</x:v>
      </x:c>
      <x:c r="B25" s="1" t="n">
        <x:f>COUNTIF('Galaxies'!$B$5:$B$186,A25)</x:f>
        <x:v>44</x:v>
      </x:c>
      <x:c r="C25" s="1"/>
    </x:row>
    <x:row r="26" ht="22" customHeight="1">
      <x:c r="A26" s="1" t="str">
        <x:v>Total galaxies</x:v>
      </x:c>
      <x:c r="B26" s="1" t="n">
        <x:f>SUM(B22:B25)</x:f>
        <x:v>182</x:v>
      </x:c>
      <x:c r="C26" s="1"/>
    </x:row>
    <x:row r="27" ht="22" customHeight="1">
      <x:c r="A27" s="1"/>
      <x:c r="B27" s="1"/>
      <x:c r="C27" s="1"/>
    </x:row>
    <x:row r="28" ht="25" hidden="0" customHeight="1">
      <x:c r="A28" s="6" t="str">
        <x:v>Review sources</x:v>
      </x:c>
      <x:c r="B28" s="6" t="str">
        <x:v>Use</x:v>
      </x:c>
      <x:c r="C28" s="1"/>
    </x:row>
    <x:row r="29" ht="15" hidden="0" customHeight="1">
      <x:c r="A29" s="9" t="str">
        <x:v>all182_cleanliness_decisions.csv</x:v>
      </x:c>
      <x:c r="B29" s="9" t="str">
        <x:v>Latest categorical reviews of the wider population</x:v>
      </x:c>
      <x:c r="C29" s="1"/>
    </x:row>
    <x:row r="30" ht="26.399999618530273" hidden="0" customHeight="1">
      <x:c r="A30" s="9" t="str">
        <x:v>candidate_union_rereview_decisions.csv</x:v>
      </x:c>
      <x:c r="B30" s="9" t="str">
        <x:v>Catalogue candidate reviews; labels displayed by the interactive tool</x:v>
      </x:c>
      <x:c r="C30" s="1"/>
    </x:row>
    <x:row r="31" ht="15" hidden="0" customHeight="1">
      <x:c r="A31" s="9" t="str">
        <x:v>blind_audit_decisions.csv</x:v>
      </x:c>
      <x:c r="B31" s="9" t="str">
        <x:v>Earlier blind categorical review, used when not superseded</x:v>
      </x:c>
      <x:c r="C31" s="1"/>
    </x:row>
    <x:row r="32" ht="15" hidden="0" customHeight="1">
      <x:c r="A32" s="9" t="str">
        <x:v>blind_remaining_decisions.csv</x:v>
      </x:c>
      <x:c r="B32" s="9" t="str">
        <x:v>Blind review of remaining galaxies, used when not superseded</x:v>
      </x:c>
      <x:c r="C32" s="1"/>
    </x:row>
  </x:sheetData>
  <x:pageMargins left="0.7" right="0.7" top="0.75" bottom="0.75" header="0.3" footer="0.3"/>
</x:worksheet>
</file>