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ordo\Documents\Github\PythonScripts\outputs\galaxy-population-20261011\"/>
    </mc:Choice>
  </mc:AlternateContent>
  <xr:revisionPtr revIDLastSave="0" documentId="13_ncr:1_{C770E729-39AF-4462-9F2B-4C05288DB188}" xr6:coauthVersionLast="47" xr6:coauthVersionMax="47" xr10:uidLastSave="{00000000-0000-0000-0000-000000000000}"/>
  <bookViews>
    <workbookView xWindow="18795" yWindow="2115" windowWidth="28605" windowHeight="19110" activeTab="1" xr2:uid="{00000000-000D-0000-FFFF-FFFF00000000}"/>
  </bookViews>
  <sheets>
    <sheet name="Galaxies" sheetId="1" r:id="rId1"/>
    <sheet name="Sources and metho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1" l="1"/>
  <c r="F76" i="1"/>
  <c r="G180" i="1"/>
  <c r="F180" i="1"/>
  <c r="G185" i="1"/>
  <c r="F185" i="1"/>
  <c r="G186" i="1"/>
  <c r="F186" i="1"/>
  <c r="G181" i="1"/>
  <c r="F181" i="1"/>
  <c r="G184" i="1"/>
  <c r="F184" i="1"/>
  <c r="G168" i="1"/>
  <c r="F168" i="1"/>
  <c r="G122" i="1"/>
  <c r="F122" i="1"/>
  <c r="G117" i="1"/>
  <c r="F117" i="1"/>
  <c r="G164" i="1"/>
  <c r="F164" i="1"/>
  <c r="G165" i="1"/>
  <c r="F165" i="1"/>
  <c r="G161" i="1"/>
  <c r="F161" i="1"/>
  <c r="G158" i="1"/>
  <c r="F158" i="1"/>
  <c r="G156" i="1"/>
  <c r="F156" i="1"/>
  <c r="G152" i="1"/>
  <c r="F152" i="1"/>
  <c r="G93" i="1"/>
  <c r="F93" i="1"/>
  <c r="G86" i="1"/>
  <c r="F86" i="1"/>
  <c r="G96" i="1"/>
  <c r="F96" i="1"/>
  <c r="G105" i="1"/>
  <c r="F105" i="1"/>
  <c r="G85" i="1"/>
  <c r="F85" i="1"/>
  <c r="G89" i="1"/>
  <c r="F89" i="1"/>
  <c r="G83" i="1"/>
  <c r="F83" i="1"/>
  <c r="G51" i="1"/>
  <c r="F51" i="1"/>
  <c r="G54" i="1"/>
  <c r="F54" i="1"/>
  <c r="G153" i="1"/>
  <c r="F153" i="1"/>
  <c r="G123" i="1"/>
  <c r="F123" i="1"/>
  <c r="G134" i="1"/>
  <c r="F134" i="1"/>
  <c r="G94" i="1"/>
  <c r="F94" i="1"/>
  <c r="G31" i="1"/>
  <c r="F31" i="1"/>
  <c r="G36" i="1"/>
  <c r="F36" i="1"/>
  <c r="G49" i="1"/>
  <c r="F49" i="1"/>
  <c r="G47" i="1"/>
  <c r="F47" i="1"/>
  <c r="G56" i="1"/>
  <c r="F56" i="1"/>
  <c r="G75" i="1"/>
  <c r="F75" i="1"/>
  <c r="G57" i="1"/>
  <c r="F57" i="1"/>
  <c r="G62" i="1"/>
  <c r="F62" i="1"/>
  <c r="G64" i="1"/>
  <c r="F64" i="1"/>
  <c r="G63" i="1"/>
  <c r="F63" i="1"/>
  <c r="G69" i="1"/>
  <c r="F69" i="1"/>
  <c r="G65" i="1"/>
  <c r="F65" i="1"/>
  <c r="G66" i="1"/>
  <c r="F66" i="1"/>
  <c r="G68" i="1"/>
  <c r="F68" i="1"/>
  <c r="G159" i="1"/>
  <c r="F159" i="1"/>
  <c r="G177" i="1"/>
  <c r="F177" i="1"/>
  <c r="G155" i="1"/>
  <c r="F155" i="1"/>
  <c r="G172" i="1"/>
  <c r="F172" i="1"/>
  <c r="G182" i="1"/>
  <c r="F182" i="1"/>
  <c r="G176" i="1"/>
  <c r="F176" i="1"/>
  <c r="G87" i="1"/>
  <c r="F87" i="1"/>
  <c r="G101" i="1"/>
  <c r="F101" i="1"/>
  <c r="G98" i="1"/>
  <c r="F98" i="1"/>
  <c r="G95" i="1"/>
  <c r="F95" i="1"/>
  <c r="G115" i="1"/>
  <c r="F115" i="1"/>
  <c r="G133" i="1"/>
  <c r="F133" i="1"/>
  <c r="G107" i="1"/>
  <c r="F107" i="1"/>
  <c r="G135" i="1"/>
  <c r="F135" i="1"/>
  <c r="G174" i="1"/>
  <c r="F174" i="1"/>
  <c r="G136" i="1"/>
  <c r="F136" i="1"/>
  <c r="G121" i="1"/>
  <c r="F121" i="1"/>
  <c r="G150" i="1"/>
  <c r="F150" i="1"/>
  <c r="G149" i="1"/>
  <c r="F149" i="1"/>
  <c r="G179" i="1"/>
  <c r="F179" i="1"/>
  <c r="G178" i="1"/>
  <c r="F178" i="1"/>
  <c r="G137" i="1"/>
  <c r="F137" i="1"/>
  <c r="G169" i="1"/>
  <c r="F169" i="1"/>
  <c r="G147" i="1"/>
  <c r="F147" i="1"/>
  <c r="G131" i="1"/>
  <c r="F131" i="1"/>
  <c r="G126" i="1"/>
  <c r="F126" i="1"/>
  <c r="G170" i="1"/>
  <c r="F170" i="1"/>
  <c r="G148" i="1"/>
  <c r="F148" i="1"/>
  <c r="G124" i="1"/>
  <c r="F124" i="1"/>
  <c r="G103" i="1"/>
  <c r="F103" i="1"/>
  <c r="G119" i="1"/>
  <c r="F119" i="1"/>
  <c r="G144" i="1"/>
  <c r="F144" i="1"/>
  <c r="G175" i="1"/>
  <c r="F175" i="1"/>
  <c r="G128" i="1"/>
  <c r="F128" i="1"/>
  <c r="G138" i="1"/>
  <c r="F138" i="1"/>
  <c r="G173" i="1"/>
  <c r="F173" i="1"/>
  <c r="G171" i="1"/>
  <c r="F171" i="1"/>
  <c r="G162" i="1"/>
  <c r="F162" i="1"/>
  <c r="G116" i="1"/>
  <c r="F116" i="1"/>
  <c r="G129" i="1"/>
  <c r="F129" i="1"/>
  <c r="G140" i="1"/>
  <c r="F140" i="1"/>
  <c r="G167" i="1"/>
  <c r="F167" i="1"/>
  <c r="G139" i="1"/>
  <c r="F139" i="1"/>
  <c r="G163" i="1"/>
  <c r="F163" i="1"/>
  <c r="G141" i="1"/>
  <c r="F141" i="1"/>
  <c r="G110" i="1"/>
  <c r="F110" i="1"/>
  <c r="G108" i="1"/>
  <c r="F108" i="1"/>
  <c r="G166" i="1"/>
  <c r="F166" i="1"/>
  <c r="G130" i="1"/>
  <c r="F130" i="1"/>
  <c r="G145" i="1"/>
  <c r="F145" i="1"/>
  <c r="G160" i="1"/>
  <c r="F160" i="1"/>
  <c r="G157" i="1"/>
  <c r="F157" i="1"/>
  <c r="G151" i="1"/>
  <c r="F151" i="1"/>
  <c r="G154" i="1"/>
  <c r="F154" i="1"/>
  <c r="G146" i="1"/>
  <c r="F146" i="1"/>
  <c r="G142" i="1"/>
  <c r="F142" i="1"/>
  <c r="G111" i="1"/>
  <c r="F111" i="1"/>
  <c r="G109" i="1"/>
  <c r="F109" i="1"/>
  <c r="G77" i="1"/>
  <c r="F77" i="1"/>
  <c r="G104" i="1"/>
  <c r="F104" i="1"/>
  <c r="G113" i="1"/>
  <c r="F113" i="1"/>
  <c r="G112" i="1"/>
  <c r="F112" i="1"/>
  <c r="G100" i="1"/>
  <c r="F100" i="1"/>
  <c r="G99" i="1"/>
  <c r="F99" i="1"/>
  <c r="G106" i="1"/>
  <c r="F106" i="1"/>
  <c r="G125" i="1"/>
  <c r="F125" i="1"/>
  <c r="G102" i="1"/>
  <c r="F102" i="1"/>
  <c r="G114" i="1"/>
  <c r="F114" i="1"/>
  <c r="G97" i="1"/>
  <c r="F97" i="1"/>
  <c r="G120" i="1"/>
  <c r="F120" i="1"/>
  <c r="G91" i="1"/>
  <c r="F91" i="1"/>
  <c r="G90" i="1"/>
  <c r="F90" i="1"/>
  <c r="G88" i="1"/>
  <c r="F88" i="1"/>
  <c r="G80" i="1"/>
  <c r="F80" i="1"/>
  <c r="G92" i="1"/>
  <c r="F92" i="1"/>
  <c r="G82" i="1"/>
  <c r="F82" i="1"/>
  <c r="G35" i="1"/>
  <c r="F35" i="1"/>
  <c r="G28" i="1"/>
  <c r="F28" i="1"/>
  <c r="G29" i="1"/>
  <c r="F29" i="1"/>
  <c r="G38" i="1"/>
  <c r="F38" i="1"/>
  <c r="G34" i="1"/>
  <c r="F34" i="1"/>
  <c r="G39" i="1"/>
  <c r="F39" i="1"/>
  <c r="G15" i="1"/>
  <c r="F15" i="1"/>
  <c r="G19" i="1"/>
  <c r="F19" i="1"/>
  <c r="G5" i="1"/>
  <c r="F5" i="1"/>
  <c r="G17" i="1"/>
  <c r="F17" i="1"/>
  <c r="G6" i="1"/>
  <c r="F6" i="1"/>
  <c r="G21" i="1"/>
  <c r="F21" i="1"/>
  <c r="G7" i="1"/>
  <c r="F7" i="1"/>
  <c r="G8" i="1"/>
  <c r="F8" i="1"/>
  <c r="G43" i="1"/>
  <c r="F43" i="1"/>
  <c r="G16" i="1"/>
  <c r="F16" i="1"/>
  <c r="G11" i="1"/>
  <c r="F11" i="1"/>
  <c r="G18" i="1"/>
  <c r="F18" i="1"/>
  <c r="G24" i="1"/>
  <c r="F24" i="1"/>
  <c r="G20" i="1"/>
  <c r="F20" i="1"/>
  <c r="G44" i="1"/>
  <c r="F44" i="1"/>
  <c r="G46" i="1"/>
  <c r="F46" i="1"/>
  <c r="G45" i="1"/>
  <c r="F45" i="1"/>
  <c r="G22" i="1"/>
  <c r="F22" i="1"/>
  <c r="G70" i="1"/>
  <c r="F70" i="1"/>
  <c r="G50" i="1"/>
  <c r="F50" i="1"/>
  <c r="G37" i="1"/>
  <c r="F37" i="1"/>
  <c r="G73" i="1"/>
  <c r="F73" i="1"/>
  <c r="G55" i="1"/>
  <c r="F55" i="1"/>
  <c r="G41" i="1"/>
  <c r="F41" i="1"/>
  <c r="G61" i="1"/>
  <c r="F61" i="1"/>
  <c r="G48" i="1"/>
  <c r="F48" i="1"/>
  <c r="G59" i="1"/>
  <c r="F59" i="1"/>
  <c r="G58" i="1"/>
  <c r="F58" i="1"/>
  <c r="G67" i="1"/>
  <c r="F67" i="1"/>
  <c r="G74" i="1"/>
  <c r="F74" i="1"/>
  <c r="G127" i="1"/>
  <c r="F127" i="1"/>
  <c r="G132" i="1"/>
  <c r="F132" i="1"/>
  <c r="G118" i="1"/>
  <c r="F118" i="1"/>
  <c r="G14" i="1"/>
  <c r="F14" i="1"/>
  <c r="G25" i="1"/>
  <c r="F25" i="1"/>
  <c r="G23" i="1"/>
  <c r="F23" i="1"/>
  <c r="G27" i="1"/>
  <c r="F27" i="1"/>
  <c r="G183" i="1"/>
  <c r="F183" i="1"/>
  <c r="G143" i="1"/>
  <c r="F143" i="1"/>
  <c r="G78" i="1"/>
  <c r="F78" i="1"/>
  <c r="G81" i="1"/>
  <c r="F81" i="1"/>
  <c r="G30" i="1"/>
  <c r="F30" i="1"/>
  <c r="G32" i="1"/>
  <c r="F32" i="1"/>
  <c r="G84" i="1"/>
  <c r="F84" i="1"/>
  <c r="G79" i="1"/>
  <c r="F79" i="1"/>
  <c r="G13" i="1"/>
  <c r="F13" i="1"/>
  <c r="G12" i="1"/>
  <c r="F12" i="1"/>
  <c r="G9" i="1"/>
  <c r="F9" i="1"/>
  <c r="G10" i="1"/>
  <c r="F10" i="1"/>
  <c r="G26" i="1"/>
  <c r="F26" i="1"/>
  <c r="G72" i="1"/>
  <c r="F72" i="1"/>
  <c r="G33" i="1"/>
  <c r="F33" i="1"/>
  <c r="G40" i="1"/>
  <c r="F40" i="1"/>
  <c r="G42" i="1"/>
  <c r="F42" i="1"/>
  <c r="G53" i="1"/>
  <c r="F53" i="1"/>
  <c r="G52" i="1"/>
  <c r="F52" i="1"/>
  <c r="G71" i="1"/>
  <c r="F71" i="1"/>
  <c r="G60" i="1"/>
  <c r="F60" i="1"/>
</calcChain>
</file>

<file path=xl/sharedStrings.xml><?xml version="1.0" encoding="utf-8"?>
<sst xmlns="http://schemas.openxmlformats.org/spreadsheetml/2006/main" count="600" uniqueCount="598">
  <si>
    <t>Galaxy research population</t>
  </si>
  <si>
    <t>182 galaxies; latest categorical review; ICRS sky coordinates of adopted image centres</t>
  </si>
  <si>
    <t>Galaxy</t>
  </si>
  <si>
    <t>Status</t>
  </si>
  <si>
    <t>Centre RA (deg)</t>
  </si>
  <si>
    <t>Centre Dec (deg)</t>
  </si>
  <si>
    <t>RA (hh:mm:ss)</t>
  </si>
  <si>
    <t>Dec (dd:mm:ss)</t>
  </si>
  <si>
    <t>Hemisphere</t>
  </si>
  <si>
    <t>Fornax separation (deg)</t>
  </si>
  <si>
    <t>ESO013-016</t>
  </si>
  <si>
    <t>01:32:48.45</t>
  </si>
  <si>
    <t>-79:28:26.05</t>
  </si>
  <si>
    <t>blind_remaining_decisions.csv</t>
  </si>
  <si>
    <t>Unreviewed</t>
  </si>
  <si>
    <t>ESO026-001</t>
  </si>
  <si>
    <t>20:24:58.86</t>
  </si>
  <si>
    <t>-81:34:35.77</t>
  </si>
  <si>
    <t>ESO054-021</t>
  </si>
  <si>
    <t>03:49:49.07</t>
  </si>
  <si>
    <t>-71:38:08.15</t>
  </si>
  <si>
    <t>ESO079-005</t>
  </si>
  <si>
    <t>00:40:43.61</t>
  </si>
  <si>
    <t>-63:26:36.39</t>
  </si>
  <si>
    <t>ESO085-047</t>
  </si>
  <si>
    <t>05:07:43.57</t>
  </si>
  <si>
    <t>-62:59:27.91</t>
  </si>
  <si>
    <t>ESO120-012</t>
  </si>
  <si>
    <t>05:39:59.32</t>
  </si>
  <si>
    <t>-58:35:07.36</t>
  </si>
  <si>
    <t>ESO202-041</t>
  </si>
  <si>
    <t>04:36:56.67</t>
  </si>
  <si>
    <t>-52:10:30.69</t>
  </si>
  <si>
    <t>ESO236-039</t>
  </si>
  <si>
    <t>21:45:14.66</t>
  </si>
  <si>
    <t>-49:00:30.51</t>
  </si>
  <si>
    <t>ESO298-023</t>
  </si>
  <si>
    <t>02:14:27.47</t>
  </si>
  <si>
    <t>-39:11:06.58</t>
  </si>
  <si>
    <t>all182_cleanliness_decisions.csv</t>
  </si>
  <si>
    <t>ESO357-012</t>
  </si>
  <si>
    <t>03:16:53.40</t>
  </si>
  <si>
    <t>-35:32:28.81</t>
  </si>
  <si>
    <t>ESO358-020</t>
  </si>
  <si>
    <t>03:34:57.36</t>
  </si>
  <si>
    <t>-32:38:22.37</t>
  </si>
  <si>
    <t>ESO359-031</t>
  </si>
  <si>
    <t>04:13:09.96</t>
  </si>
  <si>
    <t>-34:25:32.74</t>
  </si>
  <si>
    <t>ESO420-009</t>
  </si>
  <si>
    <t>04:11:00.66</t>
  </si>
  <si>
    <t>-31:24:26.74</t>
  </si>
  <si>
    <t>ESO440-044</t>
  </si>
  <si>
    <t>12:02:46.37</t>
  </si>
  <si>
    <t>-29:05:37.83</t>
  </si>
  <si>
    <t>ESO443-085</t>
  </si>
  <si>
    <t>13:15:14.05</t>
  </si>
  <si>
    <t>-32:15:14.62</t>
  </si>
  <si>
    <t>ESO479-004</t>
  </si>
  <si>
    <t>02:26:21.78</t>
  </si>
  <si>
    <t>-24:17:23.73</t>
  </si>
  <si>
    <t>ESO485-021</t>
  </si>
  <si>
    <t>04:52:53.06</t>
  </si>
  <si>
    <t>-25:14:47.34</t>
  </si>
  <si>
    <t>ESO572-030</t>
  </si>
  <si>
    <t>11:58:25.51</t>
  </si>
  <si>
    <t>-22:26:24.16</t>
  </si>
  <si>
    <t>IC0600</t>
  </si>
  <si>
    <t>10:17:10.90</t>
  </si>
  <si>
    <t>-03:29:54.62</t>
  </si>
  <si>
    <t>IC0797</t>
  </si>
  <si>
    <t>12:31:54.83</t>
  </si>
  <si>
    <t>+15:07:26.76</t>
  </si>
  <si>
    <t>IC1014</t>
  </si>
  <si>
    <t>14:28:18.42</t>
  </si>
  <si>
    <t>+13:46:48.33</t>
  </si>
  <si>
    <t>IC1933</t>
  </si>
  <si>
    <t>03:25:39.85</t>
  </si>
  <si>
    <t>-52:47:07.97</t>
  </si>
  <si>
    <t>IC1953</t>
  </si>
  <si>
    <t>03:33:41.83</t>
  </si>
  <si>
    <t>-21:28:43.12</t>
  </si>
  <si>
    <t>IC1954</t>
  </si>
  <si>
    <t>03:31:31.13</t>
  </si>
  <si>
    <t>-51:54:17.50</t>
  </si>
  <si>
    <t>IC2007</t>
  </si>
  <si>
    <t>03:55:22.86</t>
  </si>
  <si>
    <t>-28:09:27.96</t>
  </si>
  <si>
    <t>IC3115</t>
  </si>
  <si>
    <t>12:17:59.90</t>
  </si>
  <si>
    <t>+06:39:15.26</t>
  </si>
  <si>
    <t>IC3517</t>
  </si>
  <si>
    <t>12:34:30.91</t>
  </si>
  <si>
    <t>+09:09:15.49</t>
  </si>
  <si>
    <t>IC3521</t>
  </si>
  <si>
    <t>12:34:39.50</t>
  </si>
  <si>
    <t>+07:09:36.42</t>
  </si>
  <si>
    <t>IC4901</t>
  </si>
  <si>
    <t>19:54:23.57</t>
  </si>
  <si>
    <t>-58:42:48.91</t>
  </si>
  <si>
    <t>IC5273</t>
  </si>
  <si>
    <t>22:59:26.68</t>
  </si>
  <si>
    <t>-37:42:10.22</t>
  </si>
  <si>
    <t>NGC0210</t>
  </si>
  <si>
    <t>00:40:34.97</t>
  </si>
  <si>
    <t>-13:52:22.05</t>
  </si>
  <si>
    <t>NGC0255</t>
  </si>
  <si>
    <t>00:47:47.23</t>
  </si>
  <si>
    <t>-11:28:07.01</t>
  </si>
  <si>
    <t>NGC0289</t>
  </si>
  <si>
    <t>00:52:42.27</t>
  </si>
  <si>
    <t>-31:12:20.98</t>
  </si>
  <si>
    <t>NGC0298</t>
  </si>
  <si>
    <t>00:55:02.28</t>
  </si>
  <si>
    <t>-07:19:58.69</t>
  </si>
  <si>
    <t>NGC0578</t>
  </si>
  <si>
    <t>01:30:28.57</t>
  </si>
  <si>
    <t>-22:40:01.46</t>
  </si>
  <si>
    <t>NGC0600</t>
  </si>
  <si>
    <t>01:33:05.25</t>
  </si>
  <si>
    <t>-07:18:42.18</t>
  </si>
  <si>
    <t>NGC0672</t>
  </si>
  <si>
    <t>01:47:53.99</t>
  </si>
  <si>
    <t>+27:25:56.12</t>
  </si>
  <si>
    <t>NGC0685</t>
  </si>
  <si>
    <t>01:47:42.83</t>
  </si>
  <si>
    <t>-52:45:43.12</t>
  </si>
  <si>
    <t>NGC0701</t>
  </si>
  <si>
    <t>01:51:03.57</t>
  </si>
  <si>
    <t>-09:42:11.39</t>
  </si>
  <si>
    <t>NGC0918</t>
  </si>
  <si>
    <t>02:25:50.80</t>
  </si>
  <si>
    <t>+18:29:46.75</t>
  </si>
  <si>
    <t>NGC0986</t>
  </si>
  <si>
    <t>02:33:34.34</t>
  </si>
  <si>
    <t>-39:02:41.99</t>
  </si>
  <si>
    <t>NGC0991</t>
  </si>
  <si>
    <t>02:35:32.67</t>
  </si>
  <si>
    <t>-07:09:15.66</t>
  </si>
  <si>
    <t>NGC1022</t>
  </si>
  <si>
    <t>02:38:32.71</t>
  </si>
  <si>
    <t>-06:40:38.69</t>
  </si>
  <si>
    <t>NGC1051</t>
  </si>
  <si>
    <t>02:41:02.49</t>
  </si>
  <si>
    <t>-06:56:08.96</t>
  </si>
  <si>
    <t>NGC1097</t>
  </si>
  <si>
    <t>02:46:18.95</t>
  </si>
  <si>
    <t>-30:16:28.83</t>
  </si>
  <si>
    <t>NGC1187</t>
  </si>
  <si>
    <t>03:02:37.58</t>
  </si>
  <si>
    <t>-22:52:01.57</t>
  </si>
  <si>
    <t>NGC1255</t>
  </si>
  <si>
    <t>03:13:32.00</t>
  </si>
  <si>
    <t>-25:43:30.38</t>
  </si>
  <si>
    <t>blind_audit_decisions.csv</t>
  </si>
  <si>
    <t>NGC1291</t>
  </si>
  <si>
    <t>03:17:18.55</t>
  </si>
  <si>
    <t>-41:06:28.67</t>
  </si>
  <si>
    <t>NGC1302</t>
  </si>
  <si>
    <t>03:19:51.20</t>
  </si>
  <si>
    <t>-26:03:37.92</t>
  </si>
  <si>
    <t>NGC1313</t>
  </si>
  <si>
    <t>03:18:15.90</t>
  </si>
  <si>
    <t>-66:29:52.95</t>
  </si>
  <si>
    <t>NGC1326A</t>
  </si>
  <si>
    <t>03:25:08.60</t>
  </si>
  <si>
    <t>-36:21:49.81</t>
  </si>
  <si>
    <t>NGC1341</t>
  </si>
  <si>
    <t>03:27:58.40</t>
  </si>
  <si>
    <t>-37:09:00.73</t>
  </si>
  <si>
    <t>NGC1347</t>
  </si>
  <si>
    <t>03:29:41.77</t>
  </si>
  <si>
    <t>-22:16:45.18</t>
  </si>
  <si>
    <t>NGC1350</t>
  </si>
  <si>
    <t>03:31:08.05</t>
  </si>
  <si>
    <t>-33:37:42.04</t>
  </si>
  <si>
    <t>NGC1367</t>
  </si>
  <si>
    <t>03:35:01.33</t>
  </si>
  <si>
    <t>-24:55:59.44</t>
  </si>
  <si>
    <t>NGC1436</t>
  </si>
  <si>
    <t>03:43:37.08</t>
  </si>
  <si>
    <t>-35:51:10.94</t>
  </si>
  <si>
    <t>NGC1493</t>
  </si>
  <si>
    <t>03:57:27.42</t>
  </si>
  <si>
    <t>-46:12:38.50</t>
  </si>
  <si>
    <t>NGC1512</t>
  </si>
  <si>
    <t>04:03:54.14</t>
  </si>
  <si>
    <t>-43:20:55.41</t>
  </si>
  <si>
    <t>NGC1559</t>
  </si>
  <si>
    <t>04:17:36.57</t>
  </si>
  <si>
    <t>-62:47:00.28</t>
  </si>
  <si>
    <t>NGC1640</t>
  </si>
  <si>
    <t>04:42:14.50</t>
  </si>
  <si>
    <t>-20:26:05.32</t>
  </si>
  <si>
    <t>NGC1672</t>
  </si>
  <si>
    <t>04:45:42.49</t>
  </si>
  <si>
    <t>-59:14:50.13</t>
  </si>
  <si>
    <t>NGC1800</t>
  </si>
  <si>
    <t>05:06:25.55</t>
  </si>
  <si>
    <t>-31:57:13.99</t>
  </si>
  <si>
    <t>NGC1808</t>
  </si>
  <si>
    <t>05:07:42.34</t>
  </si>
  <si>
    <t>-37:30:46.58</t>
  </si>
  <si>
    <t>NGC1879</t>
  </si>
  <si>
    <t>05:19:48.14</t>
  </si>
  <si>
    <t>-32:08:34.50</t>
  </si>
  <si>
    <t>NGC2500</t>
  </si>
  <si>
    <t>08:01:53.18</t>
  </si>
  <si>
    <t>+50:44:13.62</t>
  </si>
  <si>
    <t>NGC2681</t>
  </si>
  <si>
    <t>08:53:32.73</t>
  </si>
  <si>
    <t>+51:18:48.92</t>
  </si>
  <si>
    <t>NGC2903</t>
  </si>
  <si>
    <t>09:32:10.11</t>
  </si>
  <si>
    <t>+21:30:03.03</t>
  </si>
  <si>
    <t>NGC2968</t>
  </si>
  <si>
    <t>09:43:12.02</t>
  </si>
  <si>
    <t>+31:55:43.46</t>
  </si>
  <si>
    <t>NGC3185</t>
  </si>
  <si>
    <t>10:17:38.58</t>
  </si>
  <si>
    <t>+21:41:17.88</t>
  </si>
  <si>
    <t>NGC3227</t>
  </si>
  <si>
    <t>10:23:30.58</t>
  </si>
  <si>
    <t>+19:51:54.49</t>
  </si>
  <si>
    <t>NGC3264</t>
  </si>
  <si>
    <t>10:32:19.57</t>
  </si>
  <si>
    <t>+56:05:02.98</t>
  </si>
  <si>
    <t>NGC3287</t>
  </si>
  <si>
    <t>10:34:47.30</t>
  </si>
  <si>
    <t>+21:38:53.19</t>
  </si>
  <si>
    <t>NGC3319</t>
  </si>
  <si>
    <t>10:39:09.43</t>
  </si>
  <si>
    <t>+41:41:12.53</t>
  </si>
  <si>
    <t>NGC3344</t>
  </si>
  <si>
    <t>10:43:31.13</t>
  </si>
  <si>
    <t>+24:55:20.66</t>
  </si>
  <si>
    <t>NGC3359</t>
  </si>
  <si>
    <t>10:46:36.45</t>
  </si>
  <si>
    <t>+63:13:17.74</t>
  </si>
  <si>
    <t>NGC3380</t>
  </si>
  <si>
    <t>10:48:12.18</t>
  </si>
  <si>
    <t>+28:36:06.91</t>
  </si>
  <si>
    <t>NGC3447</t>
  </si>
  <si>
    <t>10:53:24.01</t>
  </si>
  <si>
    <t>+16:46:21.07</t>
  </si>
  <si>
    <t>NGC3485</t>
  </si>
  <si>
    <t>11:00:02.37</t>
  </si>
  <si>
    <t>+14:50:30.17</t>
  </si>
  <si>
    <t>NGC3486</t>
  </si>
  <si>
    <t>11:00:23.88</t>
  </si>
  <si>
    <t>+28:58:30.22</t>
  </si>
  <si>
    <t>NGC3504</t>
  </si>
  <si>
    <t>11:03:11.23</t>
  </si>
  <si>
    <t>+27:58:21.61</t>
  </si>
  <si>
    <t>NGC3627</t>
  </si>
  <si>
    <t>11:20:15.00</t>
  </si>
  <si>
    <t>+12:59:29.40</t>
  </si>
  <si>
    <t>NGC3673</t>
  </si>
  <si>
    <t>11:25:12.87</t>
  </si>
  <si>
    <t>-26:44:12.16</t>
  </si>
  <si>
    <t>NGC3681</t>
  </si>
  <si>
    <t>11:26:29.80</t>
  </si>
  <si>
    <t>+16:51:48.32</t>
  </si>
  <si>
    <t>NGC3684</t>
  </si>
  <si>
    <t>11:27:11.20</t>
  </si>
  <si>
    <t>+17:01:48.82</t>
  </si>
  <si>
    <t>NGC3726</t>
  </si>
  <si>
    <t>11:33:21.13</t>
  </si>
  <si>
    <t>+47:01:45.29</t>
  </si>
  <si>
    <t>NGC3729</t>
  </si>
  <si>
    <t>11:33:49.38</t>
  </si>
  <si>
    <t>+53:07:32.07</t>
  </si>
  <si>
    <t>NGC3850</t>
  </si>
  <si>
    <t>11:45:35.65</t>
  </si>
  <si>
    <t>+55:53:12.86</t>
  </si>
  <si>
    <t>NGC3930</t>
  </si>
  <si>
    <t>11:51:45.83</t>
  </si>
  <si>
    <t>+38:00:54.35</t>
  </si>
  <si>
    <t>NGC3953</t>
  </si>
  <si>
    <t>11:53:49.01</t>
  </si>
  <si>
    <t>+52:19:36.65</t>
  </si>
  <si>
    <t>NGC3992</t>
  </si>
  <si>
    <t>11:57:35.95</t>
  </si>
  <si>
    <t>+53:22:29.43</t>
  </si>
  <si>
    <t>NGC4020</t>
  </si>
  <si>
    <t>11:58:56.68</t>
  </si>
  <si>
    <t>+30:24:42.78</t>
  </si>
  <si>
    <t>NGC4064</t>
  </si>
  <si>
    <t>12:04:11.15</t>
  </si>
  <si>
    <t>+18:26:37.19</t>
  </si>
  <si>
    <t>NGC4102</t>
  </si>
  <si>
    <t>12:06:23.09</t>
  </si>
  <si>
    <t>+52:42:40.41</t>
  </si>
  <si>
    <t>NGC4116</t>
  </si>
  <si>
    <t>12:07:36.57</t>
  </si>
  <si>
    <t>+02:41:36.29</t>
  </si>
  <si>
    <t>NGC4123</t>
  </si>
  <si>
    <t>12:08:11.11</t>
  </si>
  <si>
    <t>+02:52:42.00</t>
  </si>
  <si>
    <t>NGC4133</t>
  </si>
  <si>
    <t>12:08:50.07</t>
  </si>
  <si>
    <t>+74:54:15.53</t>
  </si>
  <si>
    <t>NGC4145</t>
  </si>
  <si>
    <t>12:10:02.06</t>
  </si>
  <si>
    <t>+39:52:53.29</t>
  </si>
  <si>
    <t>NGC4204</t>
  </si>
  <si>
    <t>12:15:14.46</t>
  </si>
  <si>
    <t>+20:39:31.68</t>
  </si>
  <si>
    <t>NGC4214</t>
  </si>
  <si>
    <t>12:15:38.16</t>
  </si>
  <si>
    <t>+36:19:44.38</t>
  </si>
  <si>
    <t>NGC4293</t>
  </si>
  <si>
    <t>12:21:12.83</t>
  </si>
  <si>
    <t>+18:22:57.27</t>
  </si>
  <si>
    <t>NGC4294</t>
  </si>
  <si>
    <t>12:21:17.83</t>
  </si>
  <si>
    <t>+11:30:38.27</t>
  </si>
  <si>
    <t>NGC4303</t>
  </si>
  <si>
    <t>12:22:10.09</t>
  </si>
  <si>
    <t>+04:28:20.86</t>
  </si>
  <si>
    <t>NGC4314</t>
  </si>
  <si>
    <t>12:22:32.01</t>
  </si>
  <si>
    <t>+29:53:43.57</t>
  </si>
  <si>
    <t>NGC4369</t>
  </si>
  <si>
    <t>12:24:36.30</t>
  </si>
  <si>
    <t>+39:22:56.77</t>
  </si>
  <si>
    <t>NGC4389</t>
  </si>
  <si>
    <t>12:25:35.21</t>
  </si>
  <si>
    <t>+45:41:04.74</t>
  </si>
  <si>
    <t>NGC4405</t>
  </si>
  <si>
    <t>12:26:07.15</t>
  </si>
  <si>
    <t>+16:10:51.84</t>
  </si>
  <si>
    <t>NGC4424</t>
  </si>
  <si>
    <t>12:27:11.57</t>
  </si>
  <si>
    <t>+09:25:14.29</t>
  </si>
  <si>
    <t>NGC4449</t>
  </si>
  <si>
    <t>12:28:11.12</t>
  </si>
  <si>
    <t>+44:05:37.02</t>
  </si>
  <si>
    <t>NGC4450</t>
  </si>
  <si>
    <t>12:28:29.60</t>
  </si>
  <si>
    <t>+17:05:05.82</t>
  </si>
  <si>
    <t>NGC4457</t>
  </si>
  <si>
    <t>12:28:59.02</t>
  </si>
  <si>
    <t>+03:34:14.23</t>
  </si>
  <si>
    <t>NGC4487</t>
  </si>
  <si>
    <t>12:31:04.47</t>
  </si>
  <si>
    <t>-08:03:14.51</t>
  </si>
  <si>
    <t>NGC4496A</t>
  </si>
  <si>
    <t>12:31:39.26</t>
  </si>
  <si>
    <t>+03:56:22.64</t>
  </si>
  <si>
    <t>NGC4498</t>
  </si>
  <si>
    <t>12:31:39.51</t>
  </si>
  <si>
    <t>+16:51:09.85</t>
  </si>
  <si>
    <t>NGC4525</t>
  </si>
  <si>
    <t>12:33:51.13</t>
  </si>
  <si>
    <t>+30:16:38.76</t>
  </si>
  <si>
    <t>NGC4532</t>
  </si>
  <si>
    <t>12:34:19.14</t>
  </si>
  <si>
    <t>+06:28:08.07</t>
  </si>
  <si>
    <t>NGC4535</t>
  </si>
  <si>
    <t>12:34:20.30</t>
  </si>
  <si>
    <t>+08:11:52.70</t>
  </si>
  <si>
    <t>NGC4540</t>
  </si>
  <si>
    <t>12:34:50.86</t>
  </si>
  <si>
    <t>+15:33:06.21</t>
  </si>
  <si>
    <t>NGC4559</t>
  </si>
  <si>
    <t>12:35:57.65</t>
  </si>
  <si>
    <t>+27:57:35.80</t>
  </si>
  <si>
    <t>NGC4579</t>
  </si>
  <si>
    <t>12:37:43.53</t>
  </si>
  <si>
    <t>+11:49:05.58</t>
  </si>
  <si>
    <t>NGC4618</t>
  </si>
  <si>
    <t>12:41:32.90</t>
  </si>
  <si>
    <t>+41:09:03.02</t>
  </si>
  <si>
    <t>NGC4625</t>
  </si>
  <si>
    <t>12:41:52.72</t>
  </si>
  <si>
    <t>+41:16:25.90</t>
  </si>
  <si>
    <t>NGC4639</t>
  </si>
  <si>
    <t>12:42:52.40</t>
  </si>
  <si>
    <t>+13:15:26.81</t>
  </si>
  <si>
    <t>NGC4654</t>
  </si>
  <si>
    <t>12:43:56.58</t>
  </si>
  <si>
    <t>+13:07:36.18</t>
  </si>
  <si>
    <t>NGC4668</t>
  </si>
  <si>
    <t>12:45:32.00</t>
  </si>
  <si>
    <t>-00:32:08.64</t>
  </si>
  <si>
    <t>NGC4713</t>
  </si>
  <si>
    <t>12:49:57.88</t>
  </si>
  <si>
    <t>+05:18:40.89</t>
  </si>
  <si>
    <t>NGC4725</t>
  </si>
  <si>
    <t>12:50:26.57</t>
  </si>
  <si>
    <t>+25:30:02.56</t>
  </si>
  <si>
    <t>NGC4765</t>
  </si>
  <si>
    <t>12:53:14.56</t>
  </si>
  <si>
    <t>+04:27:47.82</t>
  </si>
  <si>
    <t>NGC4781</t>
  </si>
  <si>
    <t>12:54:23.80</t>
  </si>
  <si>
    <t>-10:32:13.62</t>
  </si>
  <si>
    <t>NGC4900</t>
  </si>
  <si>
    <t>13:00:39.14</t>
  </si>
  <si>
    <t>+02:30:04.87</t>
  </si>
  <si>
    <t>NGC4981</t>
  </si>
  <si>
    <t>13:08:48.76</t>
  </si>
  <si>
    <t>-06:46:39.14</t>
  </si>
  <si>
    <t>NGC5042</t>
  </si>
  <si>
    <t>13:15:31.01</t>
  </si>
  <si>
    <t>-23:59:01.98</t>
  </si>
  <si>
    <t>NGC5068</t>
  </si>
  <si>
    <t>13:18:54.74</t>
  </si>
  <si>
    <t>-21:02:19.48</t>
  </si>
  <si>
    <t>NGC5134</t>
  </si>
  <si>
    <t>13:25:18.54</t>
  </si>
  <si>
    <t>-21:08:03.10</t>
  </si>
  <si>
    <t>NGC5236</t>
  </si>
  <si>
    <t>13:37:00.57</t>
  </si>
  <si>
    <t>-29:51:56.59</t>
  </si>
  <si>
    <t>NGC5569</t>
  </si>
  <si>
    <t>14:20:32.07</t>
  </si>
  <si>
    <t>+03:58:59.49</t>
  </si>
  <si>
    <t>NGC5669</t>
  </si>
  <si>
    <t>14:32:43.94</t>
  </si>
  <si>
    <t>+09:53:30.89</t>
  </si>
  <si>
    <t>NGC5713</t>
  </si>
  <si>
    <t>14:40:11.45</t>
  </si>
  <si>
    <t>-00:17:19.95</t>
  </si>
  <si>
    <t>NGC6217</t>
  </si>
  <si>
    <t>16:32:39.14</t>
  </si>
  <si>
    <t>+78:11:53.39</t>
  </si>
  <si>
    <t>NGC6237</t>
  </si>
  <si>
    <t>16:46:22.13</t>
  </si>
  <si>
    <t>+70:21:24.13</t>
  </si>
  <si>
    <t>NGC6412</t>
  </si>
  <si>
    <t>17:29:37.32</t>
  </si>
  <si>
    <t>+75:42:15.92</t>
  </si>
  <si>
    <t>NGC7418</t>
  </si>
  <si>
    <t>22:56:36.11</t>
  </si>
  <si>
    <t>-37:01:48.01</t>
  </si>
  <si>
    <t>NGC7424</t>
  </si>
  <si>
    <t>22:57:18.37</t>
  </si>
  <si>
    <t>-41:04:14.25</t>
  </si>
  <si>
    <t>NGC7496</t>
  </si>
  <si>
    <t>23:09:47.29</t>
  </si>
  <si>
    <t>-43:25:40.26</t>
  </si>
  <si>
    <t>NGC7513</t>
  </si>
  <si>
    <t>23:13:14.05</t>
  </si>
  <si>
    <t>-28:21:27.06</t>
  </si>
  <si>
    <t>NGC7531</t>
  </si>
  <si>
    <t>23:14:48.45</t>
  </si>
  <si>
    <t>-43:35:59.53</t>
  </si>
  <si>
    <t>NGC7552</t>
  </si>
  <si>
    <t>23:16:10.85</t>
  </si>
  <si>
    <t>-42:35:06.61</t>
  </si>
  <si>
    <t>NGC7582</t>
  </si>
  <si>
    <t>23:18:23.55</t>
  </si>
  <si>
    <t>-42:22:12.30</t>
  </si>
  <si>
    <t>NGC7764</t>
  </si>
  <si>
    <t>23:50:53.80</t>
  </si>
  <si>
    <t>-40:43:48.21</t>
  </si>
  <si>
    <t>NGC7800</t>
  </si>
  <si>
    <t>23:59:36.75</t>
  </si>
  <si>
    <t>+14:48:25.39</t>
  </si>
  <si>
    <t>PGC002492</t>
  </si>
  <si>
    <t>00:41:45.46</t>
  </si>
  <si>
    <t>-16:51:38.87</t>
  </si>
  <si>
    <t>PGC006626</t>
  </si>
  <si>
    <t>01:48:25.77</t>
  </si>
  <si>
    <t>-12:22:52.64</t>
  </si>
  <si>
    <t>PGC007654</t>
  </si>
  <si>
    <t>02:00:54.96</t>
  </si>
  <si>
    <t>-08:50:27.78</t>
  </si>
  <si>
    <t>PGC011677</t>
  </si>
  <si>
    <t>03:07:04.60</t>
  </si>
  <si>
    <t>-14:00:12.50</t>
  </si>
  <si>
    <t>PGC013821</t>
  </si>
  <si>
    <t>03:46:38.14</t>
  </si>
  <si>
    <t>-16:32:58.38</t>
  </si>
  <si>
    <t>PGC035705</t>
  </si>
  <si>
    <t>11:33:45.29</t>
  </si>
  <si>
    <t>-03:26:12.39</t>
  </si>
  <si>
    <t>PGC042160</t>
  </si>
  <si>
    <t>12:37:41.33</t>
  </si>
  <si>
    <t>+08:33:33.53</t>
  </si>
  <si>
    <t>PGC048179</t>
  </si>
  <si>
    <t>13:38:10.36</t>
  </si>
  <si>
    <t>-09:48:08.53</t>
  </si>
  <si>
    <t>PGC051523</t>
  </si>
  <si>
    <t>14:25:45.45</t>
  </si>
  <si>
    <t>-05:24:06.92</t>
  </si>
  <si>
    <t>UGC02302</t>
  </si>
  <si>
    <t>02:49:09.11</t>
  </si>
  <si>
    <t>+02:07:40.62</t>
  </si>
  <si>
    <t>UGC02345</t>
  </si>
  <si>
    <t>02:51:53.06</t>
  </si>
  <si>
    <t>-01:10:19.73</t>
  </si>
  <si>
    <t>UGC04393</t>
  </si>
  <si>
    <t>08:26:04.41</t>
  </si>
  <si>
    <t>+45:58:03.82</t>
  </si>
  <si>
    <t>UGC04499</t>
  </si>
  <si>
    <t>08:37:41.52</t>
  </si>
  <si>
    <t>+51:39:09.99</t>
  </si>
  <si>
    <t>UGC04988</t>
  </si>
  <si>
    <t>09:23:15.19</t>
  </si>
  <si>
    <t>+34:44:03.86</t>
  </si>
  <si>
    <t>UGC05354</t>
  </si>
  <si>
    <t>09:58:53.40</t>
  </si>
  <si>
    <t>+47:44:12.97</t>
  </si>
  <si>
    <t>UGC05393</t>
  </si>
  <si>
    <t>10:01:42.16</t>
  </si>
  <si>
    <t>+33:08:10.08</t>
  </si>
  <si>
    <t>UGC05633</t>
  </si>
  <si>
    <t>10:24:40.10</t>
  </si>
  <si>
    <t>+14:45:24.54</t>
  </si>
  <si>
    <t>UGC05832</t>
  </si>
  <si>
    <t>10:42:48.43</t>
  </si>
  <si>
    <t>+13:27:35.33</t>
  </si>
  <si>
    <t>UGC06682</t>
  </si>
  <si>
    <t>11:43:08.84</t>
  </si>
  <si>
    <t>+59:06:22.94</t>
  </si>
  <si>
    <t>UGC06840</t>
  </si>
  <si>
    <t>11:52:07.06</t>
  </si>
  <si>
    <t>+52:06:28.72</t>
  </si>
  <si>
    <t>UGC06931</t>
  </si>
  <si>
    <t>11:57:24.92</t>
  </si>
  <si>
    <t>+57:55:46.79</t>
  </si>
  <si>
    <t>UGC06983</t>
  </si>
  <si>
    <t>11:59:09.58</t>
  </si>
  <si>
    <t>+52:42:27.20</t>
  </si>
  <si>
    <t>UGC07129</t>
  </si>
  <si>
    <t>12:08:55.08</t>
  </si>
  <si>
    <t>+41:44:27.08</t>
  </si>
  <si>
    <t>UGC07257</t>
  </si>
  <si>
    <t>12:15:02.91</t>
  </si>
  <si>
    <t>+35:57:32.61</t>
  </si>
  <si>
    <t>UGC07612</t>
  </si>
  <si>
    <t>12:29:02.27</t>
  </si>
  <si>
    <t>+02:43:18.53</t>
  </si>
  <si>
    <t>UGC07911</t>
  </si>
  <si>
    <t>12:44:28.80</t>
  </si>
  <si>
    <t>+00:28:04.49</t>
  </si>
  <si>
    <t>UGC08385</t>
  </si>
  <si>
    <t>13:20:38.14</t>
  </si>
  <si>
    <t>+09:47:14.98</t>
  </si>
  <si>
    <t>UGC08489</t>
  </si>
  <si>
    <t>13:29:38.68</t>
  </si>
  <si>
    <t>+45:23:16.54</t>
  </si>
  <si>
    <t>UGC08507</t>
  </si>
  <si>
    <t>13:30:58.87</t>
  </si>
  <si>
    <t>+19:26:15.24</t>
  </si>
  <si>
    <t>UGC08851</t>
  </si>
  <si>
    <t>13:55:38.34</t>
  </si>
  <si>
    <t>+39:42:57.10</t>
  </si>
  <si>
    <t>UGC09245</t>
  </si>
  <si>
    <t>14:25:26.84</t>
  </si>
  <si>
    <t>+56:19:12.33</t>
  </si>
  <si>
    <t>UGC09661</t>
  </si>
  <si>
    <t>15:02:03.54</t>
  </si>
  <si>
    <t>+01:50:28.89</t>
  </si>
  <si>
    <t>UGC12151</t>
  </si>
  <si>
    <t>22:41:33.88</t>
  </si>
  <si>
    <t>+00:24:01.91</t>
  </si>
  <si>
    <t>Sources and method</t>
  </si>
  <si>
    <t>Reference</t>
  </si>
  <si>
    <t>Value</t>
  </si>
  <si>
    <t>Source URL</t>
  </si>
  <si>
    <t>Fornax centre RA (deg)</t>
  </si>
  <si>
    <t>https://simbad.cds.unistra.fr/simbad/sim-id?Ident=NGC+1399</t>
  </si>
  <si>
    <t>Fornax centre Dec (deg)</t>
  </si>
  <si>
    <t>Adopted Fornax centre</t>
  </si>
  <si>
    <t>NGC 1399</t>
  </si>
  <si>
    <t>https://almascience.eso.org/alma-data/science-verification/sv-noticeboard-subpages/science-verification-fornax-cluster</t>
  </si>
  <si>
    <t>Item</t>
  </si>
  <si>
    <t>Definition</t>
  </si>
  <si>
    <t>Population</t>
  </si>
  <si>
    <t>All 182 unique galaxies in s4g_image_geometry_manifest.csv, the default manifest used by the interactive tool.</t>
  </si>
  <si>
    <t>Latest dated categorical decision for each galaxy across catalogue and blind reviews. Severity scores are independent and are not converted into categorical labels.</t>
  </si>
  <si>
    <t>No categorical decision found. Missing decisions are not treated as Clean.</t>
  </si>
  <si>
    <t>Centre coordinates</t>
  </si>
  <si>
    <t>Adopted centre_x_pix / centre_y_pix from the manifest, in 1-based FITS pixels, transformed using each original FITS header: CD matrix, forward SIP terms where present, and inverse TAN projection.</t>
  </si>
  <si>
    <t>Coordinate frame</t>
  </si>
  <si>
    <t>ICRS; FITS headers record EQUINOX 2000. RA and Dec are decimal degrees, with sexagesimal copies for readability.</t>
  </si>
  <si>
    <t>North when declination &gt; 0; South when declination &lt; 0; Equator when declination = 0. This is celestial hemisphere.</t>
  </si>
  <si>
    <t>Fornax separation</t>
  </si>
  <si>
    <t>Great-circle angular separation from NGC 1399, not a projected physical distance or a cluster-membership determination.</t>
  </si>
  <si>
    <t>Fornax reference position</t>
  </si>
  <si>
    <t>03:38:29.083, -35:27:02.67 (ICRS), from SIMBAD. Reference degrees above are editable and separation formulas update.</t>
  </si>
  <si>
    <t>Interactive-tool status</t>
  </si>
  <si>
    <t>The tool reads only candidate_union_rereview_decisions.csv. This column preserves that display label; Status also includes later/other recorded categorical reviews.</t>
  </si>
  <si>
    <t>Review timestamp</t>
  </si>
  <si>
    <t>Recorded source timestamp, retained as text to preserve the original local time; source files do not specify a timezone.</t>
  </si>
  <si>
    <t>Workbook date</t>
  </si>
  <si>
    <t>2026-10-11</t>
  </si>
  <si>
    <t>Review sources</t>
  </si>
  <si>
    <t>Use</t>
  </si>
  <si>
    <t>Latest categorical reviews of the wider population</t>
  </si>
  <si>
    <t>candidate_union_rereview_decisions.csv</t>
  </si>
  <si>
    <t>Catalogue candidate reviews; labels displayed by the interactive tool</t>
  </si>
  <si>
    <t>Earlier blind categorical review, used when not superseded</t>
  </si>
  <si>
    <t>Blind review of remaining galaxies, used when not superseded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</si>
</sst>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5" x14ac:knownFonts="1">
    <font>
      <sz val="11"/>
      <name val="Carlito"/>
    </font>
    <font>
      <sz val="11"/>
      <color rgb="FF243247"/>
      <name val="Arial"/>
    </font>
    <font>
      <b/>
      <sz val="17"/>
      <color rgb="FF243247"/>
      <name val="Arial"/>
    </font>
    <font>
      <i/>
      <sz val="11"/>
      <color rgb="FF596579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63B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wrapText="1"/>
    </xf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laxyPopulation" displayName="GalaxyPopulation" ref="A4:G186" totalsRowShown="0">
  <autoFilter ref="A4:G186" xr:uid="{00000000-0009-0000-0100-000001000000}"/>
  <sortState xmlns:xlrd2="http://schemas.microsoft.com/office/spreadsheetml/2017/richdata2" ref="A5:G186">
    <sortCondition ref="G5:G186"/>
  </sortState>
  <tableColumns count="7">
    <tableColumn id="1" xr3:uid="{00000000-0010-0000-0000-000001000000}" name="Galaxy"/>
    <tableColumn id="3" xr3:uid="{00000000-0010-0000-0000-000003000000}" name="Centre RA (deg)"/>
    <tableColumn id="4" xr3:uid="{00000000-0010-0000-0000-000004000000}" name="Centre Dec (deg)"/>
    <tableColumn id="5" xr3:uid="{00000000-0010-0000-0000-000005000000}" name="RA (hh:mm:ss)"/>
    <tableColumn id="6" xr3:uid="{00000000-0010-0000-0000-000006000000}" name="Dec (dd:mm:ss)"/>
    <tableColumn id="7" xr3:uid="{00000000-0010-0000-0000-000007000000}" name="Hemisphere"/>
    <tableColumn id="8" xr3:uid="{00000000-0010-0000-0000-000008000000}" name="Fornax separation (de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6"/>
  <sheetViews>
    <sheetView showGridLines="0" workbookViewId="0">
      <pane xSplit="1" ySplit="4" topLeftCell="C5" activePane="bottomRight" state="frozen"/>
      <selection pane="topRight"/>
      <selection pane="bottomLeft"/>
      <selection pane="bottomRight" activeCell="G5" sqref="G5"/>
    </sheetView>
  </sheetViews>
  <sheetFormatPr defaultRowHeight="15" x14ac:dyDescent="0.25"/>
  <cols>
    <col min="1" max="1" width="16" customWidth="1"/>
    <col min="2" max="3" width="20" customWidth="1"/>
    <col min="4" max="5" width="19" customWidth="1"/>
    <col min="6" max="6" width="15" customWidth="1"/>
    <col min="7" max="7" width="23" customWidth="1"/>
  </cols>
  <sheetData>
    <row r="1" spans="1:7" ht="21.95" customHeight="1" x14ac:dyDescent="0.3">
      <c r="A1" s="2" t="s">
        <v>0</v>
      </c>
      <c r="B1" s="1"/>
      <c r="C1" s="1"/>
      <c r="D1" s="1"/>
      <c r="E1" s="1"/>
      <c r="F1" s="1"/>
      <c r="G1" s="1"/>
    </row>
    <row r="2" spans="1:7" ht="21.95" customHeight="1" x14ac:dyDescent="0.25">
      <c r="A2" s="3" t="s">
        <v>1</v>
      </c>
      <c r="B2" s="1"/>
      <c r="C2" s="1"/>
      <c r="D2" s="1"/>
      <c r="E2" s="1"/>
      <c r="F2" s="1"/>
      <c r="G2" s="1"/>
    </row>
    <row r="3" spans="1:7" ht="21.95" customHeight="1" x14ac:dyDescent="0.25">
      <c r="A3" s="1"/>
      <c r="B3" s="1"/>
      <c r="C3" s="1"/>
      <c r="D3" s="1"/>
      <c r="E3" s="1"/>
      <c r="F3" s="1"/>
      <c r="G3" s="1"/>
    </row>
    <row r="4" spans="1:7" ht="36" customHeight="1" x14ac:dyDescent="0.25">
      <c r="A4" s="5" t="s">
        <v>2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spans="1:7" ht="15" customHeight="1" x14ac:dyDescent="0.25">
      <c r="A5" s="1" t="s">
        <v>179</v>
      </c>
      <c r="B5" s="6">
        <v>55.904507050962451</v>
      </c>
      <c r="C5" s="6">
        <v>-35.853039961180812</v>
      </c>
      <c r="D5" s="1" t="s">
        <v>180</v>
      </c>
      <c r="E5" s="1" t="s">
        <v>181</v>
      </c>
      <c r="F5" s="1" t="str">
        <f>IF(C5&gt;0,"North",IF(C5&lt;0,"South","Equator"))</f>
        <v>South</v>
      </c>
      <c r="G5" s="7">
        <f>DEGREES(ACOS(MAX(-1,MIN(1,SIN(RADIANS(C5))*SIN(RADIANS('Sources and method'!$B$5))+COS(RADIANS(C5))*COS(RADIANS('Sources and method'!$B$5))*COS(RADIANS(B5-'Sources and method'!$B$4))))))</f>
        <v>1.1176960707710495</v>
      </c>
    </row>
    <row r="6" spans="1:7" ht="15" customHeight="1" x14ac:dyDescent="0.25">
      <c r="A6" s="1" t="s">
        <v>173</v>
      </c>
      <c r="B6" s="6">
        <v>52.783559237971673</v>
      </c>
      <c r="C6" s="6">
        <v>-33.628343759099472</v>
      </c>
      <c r="D6" s="1" t="s">
        <v>174</v>
      </c>
      <c r="E6" s="1" t="s">
        <v>175</v>
      </c>
      <c r="F6" s="1" t="str">
        <f>IF(C6&gt;0,"North",IF(C6&lt;0,"South","Equator"))</f>
        <v>South</v>
      </c>
      <c r="G6" s="7">
        <f>DEGREES(ACOS(MAX(-1,MIN(1,SIN(RADIANS(C6))*SIN(RADIANS('Sources and method'!$B$5))+COS(RADIANS(C6))*COS(RADIANS('Sources and method'!$B$5))*COS(RADIANS(B6-'Sources and method'!$B$4))))))</f>
        <v>2.3689506728594734</v>
      </c>
    </row>
    <row r="7" spans="1:7" ht="15" customHeight="1" x14ac:dyDescent="0.25">
      <c r="A7" s="1" t="s">
        <v>167</v>
      </c>
      <c r="B7" s="6">
        <v>51.993339202000776</v>
      </c>
      <c r="C7" s="6">
        <v>-37.150203316990606</v>
      </c>
      <c r="D7" s="1" t="s">
        <v>168</v>
      </c>
      <c r="E7" s="1" t="s">
        <v>169</v>
      </c>
      <c r="F7" s="1" t="str">
        <f>IF(C7&gt;0,"North",IF(C7&lt;0,"South","Equator"))</f>
        <v>South</v>
      </c>
      <c r="G7" s="7">
        <f>DEGREES(ACOS(MAX(-1,MIN(1,SIN(RADIANS(C7))*SIN(RADIANS('Sources and method'!$B$5))+COS(RADIANS(C7))*COS(RADIANS('Sources and method'!$B$5))*COS(RADIANS(B7-'Sources and method'!$B$4))))))</f>
        <v>2.7151923822071846</v>
      </c>
    </row>
    <row r="8" spans="1:7" ht="15" customHeight="1" x14ac:dyDescent="0.25">
      <c r="A8" s="1" t="s">
        <v>164</v>
      </c>
      <c r="B8" s="6">
        <v>51.28581971668892</v>
      </c>
      <c r="C8" s="6">
        <v>-36.363837472451507</v>
      </c>
      <c r="D8" s="1" t="s">
        <v>165</v>
      </c>
      <c r="E8" s="1" t="s">
        <v>166</v>
      </c>
      <c r="F8" s="1" t="str">
        <f>IF(C8&gt;0,"North",IF(C8&lt;0,"South","Equator"))</f>
        <v>South</v>
      </c>
      <c r="G8" s="7">
        <f>DEGREES(ACOS(MAX(-1,MIN(1,SIN(RADIANS(C8))*SIN(RADIANS('Sources and method'!$B$5))+COS(RADIANS(C8))*COS(RADIANS('Sources and method'!$B$5))*COS(RADIANS(B8-'Sources and method'!$B$4))))))</f>
        <v>2.8514747565657577</v>
      </c>
    </row>
    <row r="9" spans="1:7" ht="15" customHeight="1" x14ac:dyDescent="0.25">
      <c r="A9" s="1" t="s">
        <v>43</v>
      </c>
      <c r="B9" s="6">
        <v>53.738991026030739</v>
      </c>
      <c r="C9" s="6">
        <v>-32.639546658239752</v>
      </c>
      <c r="D9" s="1" t="s">
        <v>44</v>
      </c>
      <c r="E9" s="1" t="s">
        <v>45</v>
      </c>
      <c r="F9" s="1" t="str">
        <f>IF(C9&gt;0,"North",IF(C9&lt;0,"South","Equator"))</f>
        <v>South</v>
      </c>
      <c r="G9" s="7">
        <f>DEGREES(ACOS(MAX(-1,MIN(1,SIN(RADIANS(C9))*SIN(RADIANS('Sources and method'!$B$5))+COS(RADIANS(C9))*COS(RADIANS('Sources and method'!$B$5))*COS(RADIANS(B9-'Sources and method'!$B$4))))))</f>
        <v>2.9046323629488375</v>
      </c>
    </row>
    <row r="10" spans="1:7" ht="15" customHeight="1" x14ac:dyDescent="0.25">
      <c r="A10" s="1" t="s">
        <v>40</v>
      </c>
      <c r="B10" s="6">
        <v>49.22249289066972</v>
      </c>
      <c r="C10" s="6">
        <v>-35.541336234508364</v>
      </c>
      <c r="D10" s="1" t="s">
        <v>41</v>
      </c>
      <c r="E10" s="1" t="s">
        <v>42</v>
      </c>
      <c r="F10" s="1" t="str">
        <f>IF(C10&gt;0,"North",IF(C10&lt;0,"South","Equator"))</f>
        <v>South</v>
      </c>
      <c r="G10" s="7">
        <f>DEGREES(ACOS(MAX(-1,MIN(1,SIN(RADIANS(C10))*SIN(RADIANS('Sources and method'!$B$5))+COS(RADIANS(C10))*COS(RADIANS('Sources and method'!$B$5))*COS(RADIANS(B10-'Sources and method'!$B$4))))))</f>
        <v>4.3957549979302879</v>
      </c>
    </row>
    <row r="11" spans="1:7" ht="15" customHeight="1" x14ac:dyDescent="0.25">
      <c r="A11" s="1" t="s">
        <v>155</v>
      </c>
      <c r="B11" s="6">
        <v>49.327306449996179</v>
      </c>
      <c r="C11" s="6">
        <v>-41.107963332082406</v>
      </c>
      <c r="D11" s="1" t="s">
        <v>156</v>
      </c>
      <c r="E11" s="1" t="s">
        <v>157</v>
      </c>
      <c r="F11" s="1" t="str">
        <f>IF(C11&gt;0,"North",IF(C11&lt;0,"South","Equator"))</f>
        <v>South</v>
      </c>
      <c r="G11" s="7">
        <f>DEGREES(ACOS(MAX(-1,MIN(1,SIN(RADIANS(C11))*SIN(RADIANS('Sources and method'!$B$5))+COS(RADIANS(C11))*COS(RADIANS('Sources and method'!$B$5))*COS(RADIANS(B11-'Sources and method'!$B$4))))))</f>
        <v>7.0163321128924867</v>
      </c>
    </row>
    <row r="12" spans="1:7" ht="15" customHeight="1" x14ac:dyDescent="0.25">
      <c r="A12" s="1" t="s">
        <v>46</v>
      </c>
      <c r="B12" s="6">
        <v>63.291505801772125</v>
      </c>
      <c r="C12" s="6">
        <v>-34.425760722318905</v>
      </c>
      <c r="D12" s="1" t="s">
        <v>47</v>
      </c>
      <c r="E12" s="1" t="s">
        <v>48</v>
      </c>
      <c r="F12" s="1" t="str">
        <f>IF(C12&gt;0,"North",IF(C12&lt;0,"South","Equator"))</f>
        <v>South</v>
      </c>
      <c r="G12" s="7">
        <f>DEGREES(ACOS(MAX(-1,MIN(1,SIN(RADIANS(C12))*SIN(RADIANS('Sources and method'!$B$5))+COS(RADIANS(C12))*COS(RADIANS('Sources and method'!$B$5))*COS(RADIANS(B12-'Sources and method'!$B$4))))))</f>
        <v>7.1787601008178266</v>
      </c>
    </row>
    <row r="13" spans="1:7" ht="15" customHeight="1" x14ac:dyDescent="0.25">
      <c r="A13" s="1" t="s">
        <v>49</v>
      </c>
      <c r="B13" s="6">
        <v>62.752758757330874</v>
      </c>
      <c r="C13" s="6">
        <v>-31.407426634385001</v>
      </c>
      <c r="D13" s="1" t="s">
        <v>50</v>
      </c>
      <c r="E13" s="1" t="s">
        <v>51</v>
      </c>
      <c r="F13" s="1" t="str">
        <f>IF(C13&gt;0,"North",IF(C13&lt;0,"South","Equator"))</f>
        <v>South</v>
      </c>
      <c r="G13" s="7">
        <f>DEGREES(ACOS(MAX(-1,MIN(1,SIN(RADIANS(C13))*SIN(RADIANS('Sources and method'!$B$5))+COS(RADIANS(C13))*COS(RADIANS('Sources and method'!$B$5))*COS(RADIANS(B13-'Sources and method'!$B$4))))))</f>
        <v>7.8952803473019584</v>
      </c>
    </row>
    <row r="14" spans="1:7" ht="15" customHeight="1" x14ac:dyDescent="0.25">
      <c r="A14" s="1" t="s">
        <v>85</v>
      </c>
      <c r="B14" s="6">
        <v>58.84525536100427</v>
      </c>
      <c r="C14" s="6">
        <v>-28.157766186572484</v>
      </c>
      <c r="D14" s="1" t="s">
        <v>86</v>
      </c>
      <c r="E14" s="1" t="s">
        <v>87</v>
      </c>
      <c r="F14" s="1" t="str">
        <f>IF(C14&gt;0,"North",IF(C14&lt;0,"South","Equator"))</f>
        <v>South</v>
      </c>
      <c r="G14" s="7">
        <f>DEGREES(ACOS(MAX(-1,MIN(1,SIN(RADIANS(C14))*SIN(RADIANS('Sources and method'!$B$5))+COS(RADIANS(C14))*COS(RADIANS('Sources and method'!$B$5))*COS(RADIANS(B14-'Sources and method'!$B$4))))))</f>
        <v>8.1262142392128336</v>
      </c>
    </row>
    <row r="15" spans="1:7" ht="15" customHeight="1" x14ac:dyDescent="0.25">
      <c r="A15" s="1" t="s">
        <v>185</v>
      </c>
      <c r="B15" s="6">
        <v>60.975574446366821</v>
      </c>
      <c r="C15" s="6">
        <v>-43.348724162814953</v>
      </c>
      <c r="D15" s="1" t="s">
        <v>186</v>
      </c>
      <c r="E15" s="1" t="s">
        <v>187</v>
      </c>
      <c r="F15" s="1" t="str">
        <f>IF(C15&gt;0,"North",IF(C15&lt;0,"South","Equator"))</f>
        <v>South</v>
      </c>
      <c r="G15" s="7">
        <f>DEGREES(ACOS(MAX(-1,MIN(1,SIN(RADIANS(C15))*SIN(RADIANS('Sources and method'!$B$5))+COS(RADIANS(C15))*COS(RADIANS('Sources and method'!$B$5))*COS(RADIANS(B15-'Sources and method'!$B$4))))))</f>
        <v>9.2931886860391231</v>
      </c>
    </row>
    <row r="16" spans="1:7" ht="15" customHeight="1" x14ac:dyDescent="0.25">
      <c r="A16" s="1" t="s">
        <v>158</v>
      </c>
      <c r="B16" s="6">
        <v>49.963331369773023</v>
      </c>
      <c r="C16" s="6">
        <v>-26.060533326911884</v>
      </c>
      <c r="D16" s="1" t="s">
        <v>159</v>
      </c>
      <c r="E16" s="1" t="s">
        <v>160</v>
      </c>
      <c r="F16" s="1" t="str">
        <f>IF(C16&gt;0,"North",IF(C16&lt;0,"South","Equator"))</f>
        <v>South</v>
      </c>
      <c r="G16" s="7">
        <f>DEGREES(ACOS(MAX(-1,MIN(1,SIN(RADIANS(C16))*SIN(RADIANS('Sources and method'!$B$5))+COS(RADIANS(C16))*COS(RADIANS('Sources and method'!$B$5))*COS(RADIANS(B16-'Sources and method'!$B$4))))))</f>
        <v>10.204001248687629</v>
      </c>
    </row>
    <row r="17" spans="1:7" ht="15" customHeight="1" x14ac:dyDescent="0.25">
      <c r="A17" s="1" t="s">
        <v>176</v>
      </c>
      <c r="B17" s="6">
        <v>53.755548584614907</v>
      </c>
      <c r="C17" s="6">
        <v>-24.933177054646396</v>
      </c>
      <c r="D17" s="1" t="s">
        <v>177</v>
      </c>
      <c r="E17" s="1" t="s">
        <v>178</v>
      </c>
      <c r="F17" s="1" t="str">
        <f>IF(C17&gt;0,"North",IF(C17&lt;0,"South","Equator"))</f>
        <v>South</v>
      </c>
      <c r="G17" s="7">
        <f>DEGREES(ACOS(MAX(-1,MIN(1,SIN(RADIANS(C17))*SIN(RADIANS('Sources and method'!$B$5))+COS(RADIANS(C17))*COS(RADIANS('Sources and method'!$B$5))*COS(RADIANS(B17-'Sources and method'!$B$4))))))</f>
        <v>10.543993446653545</v>
      </c>
    </row>
    <row r="18" spans="1:7" ht="15" customHeight="1" x14ac:dyDescent="0.25">
      <c r="A18" s="1" t="s">
        <v>151</v>
      </c>
      <c r="B18" s="6">
        <v>48.383317710587889</v>
      </c>
      <c r="C18" s="6">
        <v>-25.725106668660679</v>
      </c>
      <c r="D18" s="1" t="s">
        <v>152</v>
      </c>
      <c r="E18" s="1" t="s">
        <v>153</v>
      </c>
      <c r="F18" s="1" t="str">
        <f>IF(C18&gt;0,"North",IF(C18&lt;0,"South","Equator"))</f>
        <v>South</v>
      </c>
      <c r="G18" s="7">
        <f>DEGREES(ACOS(MAX(-1,MIN(1,SIN(RADIANS(C18))*SIN(RADIANS('Sources and method'!$B$5))+COS(RADIANS(C18))*COS(RADIANS('Sources and method'!$B$5))*COS(RADIANS(B18-'Sources and method'!$B$4))))))</f>
        <v>11.102879298949945</v>
      </c>
    </row>
    <row r="19" spans="1:7" ht="15" customHeight="1" x14ac:dyDescent="0.25">
      <c r="A19" s="1" t="s">
        <v>182</v>
      </c>
      <c r="B19" s="6">
        <v>59.364251954675289</v>
      </c>
      <c r="C19" s="6">
        <v>-46.21069348436135</v>
      </c>
      <c r="D19" s="1" t="s">
        <v>183</v>
      </c>
      <c r="E19" s="1" t="s">
        <v>184</v>
      </c>
      <c r="F19" s="1" t="str">
        <f>IF(C19&gt;0,"North",IF(C19&lt;0,"South","Equator"))</f>
        <v>South</v>
      </c>
      <c r="G19" s="7">
        <f>DEGREES(ACOS(MAX(-1,MIN(1,SIN(RADIANS(C19))*SIN(RADIANS('Sources and method'!$B$5))+COS(RADIANS(C19))*COS(RADIANS('Sources and method'!$B$5))*COS(RADIANS(B19-'Sources and method'!$B$4))))))</f>
        <v>11.337113074755418</v>
      </c>
    </row>
    <row r="20" spans="1:7" ht="15" customHeight="1" x14ac:dyDescent="0.25">
      <c r="A20" s="1" t="s">
        <v>145</v>
      </c>
      <c r="B20" s="6">
        <v>41.578956581964526</v>
      </c>
      <c r="C20" s="6">
        <v>-30.274675000648191</v>
      </c>
      <c r="D20" s="1" t="s">
        <v>146</v>
      </c>
      <c r="E20" s="1" t="s">
        <v>147</v>
      </c>
      <c r="F20" s="1" t="str">
        <f>IF(C20&gt;0,"North",IF(C20&lt;0,"South","Equator"))</f>
        <v>South</v>
      </c>
      <c r="G20" s="7">
        <f>DEGREES(ACOS(MAX(-1,MIN(1,SIN(RADIANS(C20))*SIN(RADIANS('Sources and method'!$B$5))+COS(RADIANS(C20))*COS(RADIANS('Sources and method'!$B$5))*COS(RADIANS(B20-'Sources and method'!$B$4))))))</f>
        <v>12.10244538365148</v>
      </c>
    </row>
    <row r="21" spans="1:7" ht="15" customHeight="1" x14ac:dyDescent="0.25">
      <c r="A21" s="1" t="s">
        <v>170</v>
      </c>
      <c r="B21" s="6">
        <v>52.424039214782574</v>
      </c>
      <c r="C21" s="6">
        <v>-22.279215415169997</v>
      </c>
      <c r="D21" s="1" t="s">
        <v>171</v>
      </c>
      <c r="E21" s="1" t="s">
        <v>172</v>
      </c>
      <c r="F21" s="1" t="str">
        <f>IF(C21&gt;0,"North",IF(C21&lt;0,"South","Equator"))</f>
        <v>South</v>
      </c>
      <c r="G21" s="7">
        <f>DEGREES(ACOS(MAX(-1,MIN(1,SIN(RADIANS(C21))*SIN(RADIANS('Sources and method'!$B$5))+COS(RADIANS(C21))*COS(RADIANS('Sources and method'!$B$5))*COS(RADIANS(B21-'Sources and method'!$B$4))))))</f>
        <v>13.310152737308021</v>
      </c>
    </row>
    <row r="22" spans="1:7" ht="15" customHeight="1" x14ac:dyDescent="0.25">
      <c r="A22" s="1" t="s">
        <v>133</v>
      </c>
      <c r="B22" s="6">
        <v>38.393086062264217</v>
      </c>
      <c r="C22" s="6">
        <v>-39.044996580896779</v>
      </c>
      <c r="D22" s="1" t="s">
        <v>134</v>
      </c>
      <c r="E22" s="1" t="s">
        <v>135</v>
      </c>
      <c r="F22" s="1" t="str">
        <f>IF(C22&gt;0,"North",IF(C22&lt;0,"South","Equator"))</f>
        <v>South</v>
      </c>
      <c r="G22" s="7">
        <f>DEGREES(ACOS(MAX(-1,MIN(1,SIN(RADIANS(C22))*SIN(RADIANS('Sources and method'!$B$5))+COS(RADIANS(C22))*COS(RADIANS('Sources and method'!$B$5))*COS(RADIANS(B22-'Sources and method'!$B$4))))))</f>
        <v>13.387764478712278</v>
      </c>
    </row>
    <row r="23" spans="1:7" ht="15" customHeight="1" x14ac:dyDescent="0.25">
      <c r="A23" s="1" t="s">
        <v>79</v>
      </c>
      <c r="B23" s="6">
        <v>53.424293283797532</v>
      </c>
      <c r="C23" s="6">
        <v>-21.478645415250554</v>
      </c>
      <c r="D23" s="1" t="s">
        <v>80</v>
      </c>
      <c r="E23" s="1" t="s">
        <v>81</v>
      </c>
      <c r="F23" s="1" t="str">
        <f>IF(C23&gt;0,"North",IF(C23&lt;0,"South","Equator"))</f>
        <v>South</v>
      </c>
      <c r="G23" s="7">
        <f>DEGREES(ACOS(MAX(-1,MIN(1,SIN(RADIANS(C23))*SIN(RADIANS('Sources and method'!$B$5))+COS(RADIANS(C23))*COS(RADIANS('Sources and method'!$B$5))*COS(RADIANS(B23-'Sources and method'!$B$4))))))</f>
        <v>14.011289230019536</v>
      </c>
    </row>
    <row r="24" spans="1:7" ht="15" customHeight="1" x14ac:dyDescent="0.25">
      <c r="A24" s="1" t="s">
        <v>148</v>
      </c>
      <c r="B24" s="6">
        <v>45.656562848317499</v>
      </c>
      <c r="C24" s="6">
        <v>-22.867101665852886</v>
      </c>
      <c r="D24" s="1" t="s">
        <v>149</v>
      </c>
      <c r="E24" s="1" t="s">
        <v>150</v>
      </c>
      <c r="F24" s="1" t="str">
        <f>IF(C24&gt;0,"North",IF(C24&lt;0,"South","Equator"))</f>
        <v>South</v>
      </c>
      <c r="G24" s="7">
        <f>DEGREES(ACOS(MAX(-1,MIN(1,SIN(RADIANS(C24))*SIN(RADIANS('Sources and method'!$B$5))+COS(RADIANS(C24))*COS(RADIANS('Sources and method'!$B$5))*COS(RADIANS(B24-'Sources and method'!$B$4))))))</f>
        <v>14.802926846764811</v>
      </c>
    </row>
    <row r="25" spans="1:7" ht="15" customHeight="1" x14ac:dyDescent="0.25">
      <c r="A25" s="1" t="s">
        <v>82</v>
      </c>
      <c r="B25" s="6">
        <v>52.879708760349111</v>
      </c>
      <c r="C25" s="6">
        <v>-51.904862074790699</v>
      </c>
      <c r="D25" s="1" t="s">
        <v>83</v>
      </c>
      <c r="E25" s="1" t="s">
        <v>84</v>
      </c>
      <c r="F25" s="1" t="str">
        <f>IF(C25&gt;0,"North",IF(C25&lt;0,"South","Equator"))</f>
        <v>South</v>
      </c>
      <c r="G25" s="7">
        <f>DEGREES(ACOS(MAX(-1,MIN(1,SIN(RADIANS(C25))*SIN(RADIANS('Sources and method'!$B$5))+COS(RADIANS(C25))*COS(RADIANS('Sources and method'!$B$5))*COS(RADIANS(B25-'Sources and method'!$B$4))))))</f>
        <v>16.501011931657192</v>
      </c>
    </row>
    <row r="26" spans="1:7" ht="15" customHeight="1" x14ac:dyDescent="0.25">
      <c r="A26" s="1" t="s">
        <v>36</v>
      </c>
      <c r="B26" s="6">
        <v>33.61443762814698</v>
      </c>
      <c r="C26" s="6">
        <v>-39.185160368559856</v>
      </c>
      <c r="D26" s="1" t="s">
        <v>37</v>
      </c>
      <c r="E26" s="1" t="s">
        <v>38</v>
      </c>
      <c r="F26" s="1" t="str">
        <f>IF(C26&gt;0,"North",IF(C26&lt;0,"South","Equator"))</f>
        <v>South</v>
      </c>
      <c r="G26" s="7">
        <f>DEGREES(ACOS(MAX(-1,MIN(1,SIN(RADIANS(C26))*SIN(RADIANS('Sources and method'!$B$5))+COS(RADIANS(C26))*COS(RADIANS('Sources and method'!$B$5))*COS(RADIANS(B26-'Sources and method'!$B$4))))))</f>
        <v>17.076843646256883</v>
      </c>
    </row>
    <row r="27" spans="1:7" ht="15" customHeight="1" x14ac:dyDescent="0.25">
      <c r="A27" s="1" t="s">
        <v>76</v>
      </c>
      <c r="B27" s="6">
        <v>51.416044884620419</v>
      </c>
      <c r="C27" s="6">
        <v>-52.785547081330449</v>
      </c>
      <c r="D27" s="1" t="s">
        <v>77</v>
      </c>
      <c r="E27" s="1" t="s">
        <v>78</v>
      </c>
      <c r="F27" s="1" t="str">
        <f>IF(C27&gt;0,"North",IF(C27&lt;0,"South","Equator"))</f>
        <v>South</v>
      </c>
      <c r="G27" s="7">
        <f>DEGREES(ACOS(MAX(-1,MIN(1,SIN(RADIANS(C27))*SIN(RADIANS('Sources and method'!$B$5))+COS(RADIANS(C27))*COS(RADIANS('Sources and method'!$B$5))*COS(RADIANS(B27-'Sources and method'!$B$4))))))</f>
        <v>17.482393814711298</v>
      </c>
    </row>
    <row r="28" spans="1:7" ht="15" customHeight="1" x14ac:dyDescent="0.25">
      <c r="A28" s="1" t="s">
        <v>200</v>
      </c>
      <c r="B28" s="6">
        <v>76.926428695330756</v>
      </c>
      <c r="C28" s="6">
        <v>-37.512939165854661</v>
      </c>
      <c r="D28" s="1" t="s">
        <v>201</v>
      </c>
      <c r="E28" s="1" t="s">
        <v>202</v>
      </c>
      <c r="F28" s="1" t="str">
        <f>IF(C28&gt;0,"North",IF(C28&lt;0,"South","Equator"))</f>
        <v>South</v>
      </c>
      <c r="G28" s="7">
        <f>DEGREES(ACOS(MAX(-1,MIN(1,SIN(RADIANS(C28))*SIN(RADIANS('Sources and method'!$B$5))+COS(RADIANS(C28))*COS(RADIANS('Sources and method'!$B$5))*COS(RADIANS(B28-'Sources and method'!$B$4))))))</f>
        <v>18.009916966528429</v>
      </c>
    </row>
    <row r="29" spans="1:7" ht="15" customHeight="1" x14ac:dyDescent="0.25">
      <c r="A29" s="1" t="s">
        <v>197</v>
      </c>
      <c r="B29" s="6">
        <v>76.606478328416046</v>
      </c>
      <c r="C29" s="6">
        <v>-31.953887477350786</v>
      </c>
      <c r="D29" s="1" t="s">
        <v>198</v>
      </c>
      <c r="E29" s="1" t="s">
        <v>199</v>
      </c>
      <c r="F29" s="1" t="str">
        <f>IF(C29&gt;0,"North",IF(C29&lt;0,"South","Equator"))</f>
        <v>South</v>
      </c>
      <c r="G29" s="7">
        <f>DEGREES(ACOS(MAX(-1,MIN(1,SIN(RADIANS(C29))*SIN(RADIANS('Sources and method'!$B$5))+COS(RADIANS(C29))*COS(RADIANS('Sources and method'!$B$5))*COS(RADIANS(B29-'Sources and method'!$B$4))))))</f>
        <v>18.580746553942834</v>
      </c>
    </row>
    <row r="30" spans="1:7" ht="15" customHeight="1" x14ac:dyDescent="0.25">
      <c r="A30" s="1" t="s">
        <v>61</v>
      </c>
      <c r="B30" s="6">
        <v>73.221071111795283</v>
      </c>
      <c r="C30" s="6">
        <v>-25.246484571037847</v>
      </c>
      <c r="D30" s="1" t="s">
        <v>62</v>
      </c>
      <c r="E30" s="1" t="s">
        <v>63</v>
      </c>
      <c r="F30" s="1" t="str">
        <f>IF(C30&gt;0,"North",IF(C30&lt;0,"South","Equator"))</f>
        <v>South</v>
      </c>
      <c r="G30" s="7">
        <f>DEGREES(ACOS(MAX(-1,MIN(1,SIN(RADIANS(C30))*SIN(RADIANS('Sources and method'!$B$5))+COS(RADIANS(C30))*COS(RADIANS('Sources and method'!$B$5))*COS(RADIANS(B30-'Sources and method'!$B$4))))))</f>
        <v>18.968315534535424</v>
      </c>
    </row>
    <row r="31" spans="1:7" ht="15" customHeight="1" x14ac:dyDescent="0.25">
      <c r="A31" s="1" t="s">
        <v>473</v>
      </c>
      <c r="B31" s="6">
        <v>56.658921703286332</v>
      </c>
      <c r="C31" s="6">
        <v>-16.549549036421684</v>
      </c>
      <c r="D31" s="1" t="s">
        <v>474</v>
      </c>
      <c r="E31" s="1" t="s">
        <v>475</v>
      </c>
      <c r="F31" s="1" t="str">
        <f>IF(C31&gt;0,"North",IF(C31&lt;0,"South","Equator"))</f>
        <v>South</v>
      </c>
      <c r="G31" s="7">
        <f>DEGREES(ACOS(MAX(-1,MIN(1,SIN(RADIANS(C31))*SIN(RADIANS('Sources and method'!$B$5))+COS(RADIANS(C31))*COS(RADIANS('Sources and method'!$B$5))*COS(RADIANS(B31-'Sources and method'!$B$4))))))</f>
        <v>18.988339900694548</v>
      </c>
    </row>
    <row r="32" spans="1:7" ht="15" customHeight="1" x14ac:dyDescent="0.25">
      <c r="A32" s="1" t="s">
        <v>58</v>
      </c>
      <c r="B32" s="6">
        <v>36.590764864866749</v>
      </c>
      <c r="C32" s="6">
        <v>-24.28992371960485</v>
      </c>
      <c r="D32" s="1" t="s">
        <v>59</v>
      </c>
      <c r="E32" s="1" t="s">
        <v>60</v>
      </c>
      <c r="F32" s="1" t="str">
        <f>IF(C32&gt;0,"North",IF(C32&lt;0,"South","Equator"))</f>
        <v>South</v>
      </c>
      <c r="G32" s="7">
        <f>DEGREES(ACOS(MAX(-1,MIN(1,SIN(RADIANS(C32))*SIN(RADIANS('Sources and method'!$B$5))+COS(RADIANS(C32))*COS(RADIANS('Sources and method'!$B$5))*COS(RADIANS(B32-'Sources and method'!$B$4))))))</f>
        <v>19.156590473372074</v>
      </c>
    </row>
    <row r="33" spans="1:7" ht="15" customHeight="1" x14ac:dyDescent="0.25">
      <c r="A33" s="1" t="s">
        <v>30</v>
      </c>
      <c r="B33" s="6">
        <v>69.236108683728233</v>
      </c>
      <c r="C33" s="6">
        <v>-52.175192511770675</v>
      </c>
      <c r="D33" s="1" t="s">
        <v>31</v>
      </c>
      <c r="E33" s="1" t="s">
        <v>32</v>
      </c>
      <c r="F33" s="1" t="str">
        <f>IF(C33&gt;0,"North",IF(C33&lt;0,"South","Equator"))</f>
        <v>South</v>
      </c>
      <c r="G33" s="7">
        <f>DEGREES(ACOS(MAX(-1,MIN(1,SIN(RADIANS(C33))*SIN(RADIANS('Sources and method'!$B$5))+COS(RADIANS(C33))*COS(RADIANS('Sources and method'!$B$5))*COS(RADIANS(B33-'Sources and method'!$B$4))))))</f>
        <v>19.688924246524977</v>
      </c>
    </row>
    <row r="34" spans="1:7" ht="15" customHeight="1" x14ac:dyDescent="0.25">
      <c r="A34" s="1" t="s">
        <v>191</v>
      </c>
      <c r="B34" s="6">
        <v>70.560406583700001</v>
      </c>
      <c r="C34" s="6">
        <v>-20.434811247514912</v>
      </c>
      <c r="D34" s="1" t="s">
        <v>192</v>
      </c>
      <c r="E34" s="1" t="s">
        <v>193</v>
      </c>
      <c r="F34" s="1" t="str">
        <f>IF(C34&gt;0,"North",IF(C34&lt;0,"South","Equator"))</f>
        <v>South</v>
      </c>
      <c r="G34" s="7">
        <f>DEGREES(ACOS(MAX(-1,MIN(1,SIN(RADIANS(C34))*SIN(RADIANS('Sources and method'!$B$5))+COS(RADIANS(C34))*COS(RADIANS('Sources and method'!$B$5))*COS(RADIANS(B34-'Sources and method'!$B$4))))))</f>
        <v>20.527225299765295</v>
      </c>
    </row>
    <row r="35" spans="1:7" ht="15" customHeight="1" x14ac:dyDescent="0.25">
      <c r="A35" s="1" t="s">
        <v>203</v>
      </c>
      <c r="B35" s="6">
        <v>79.950574885570205</v>
      </c>
      <c r="C35" s="6">
        <v>-32.142916256905814</v>
      </c>
      <c r="D35" s="1" t="s">
        <v>204</v>
      </c>
      <c r="E35" s="1" t="s">
        <v>205</v>
      </c>
      <c r="F35" s="1" t="str">
        <f>IF(C35&gt;0,"North",IF(C35&lt;0,"South","Equator"))</f>
        <v>South</v>
      </c>
      <c r="G35" s="7">
        <f>DEGREES(ACOS(MAX(-1,MIN(1,SIN(RADIANS(C35))*SIN(RADIANS('Sources and method'!$B$5))+COS(RADIANS(C35))*COS(RADIANS('Sources and method'!$B$5))*COS(RADIANS(B35-'Sources and method'!$B$4))))))</f>
        <v>21.247568511010627</v>
      </c>
    </row>
    <row r="36" spans="1:7" ht="15" customHeight="1" x14ac:dyDescent="0.25">
      <c r="A36" s="1" t="s">
        <v>470</v>
      </c>
      <c r="B36" s="6">
        <v>46.769164722875757</v>
      </c>
      <c r="C36" s="6">
        <v>-14.003471242740842</v>
      </c>
      <c r="D36" s="1" t="s">
        <v>471</v>
      </c>
      <c r="E36" s="1" t="s">
        <v>472</v>
      </c>
      <c r="F36" s="1" t="str">
        <f>IF(C36&gt;0,"North",IF(C36&lt;0,"South","Equator"))</f>
        <v>South</v>
      </c>
      <c r="G36" s="7">
        <f>DEGREES(ACOS(MAX(-1,MIN(1,SIN(RADIANS(C36))*SIN(RADIANS('Sources and method'!$B$5))+COS(RADIANS(C36))*COS(RADIANS('Sources and method'!$B$5))*COS(RADIANS(B36-'Sources and method'!$B$4))))))</f>
        <v>22.580074112146594</v>
      </c>
    </row>
    <row r="37" spans="1:7" ht="15" customHeight="1" x14ac:dyDescent="0.25">
      <c r="A37" s="1" t="s">
        <v>124</v>
      </c>
      <c r="B37" s="6">
        <v>26.928451096082217</v>
      </c>
      <c r="C37" s="6">
        <v>-52.761977472696167</v>
      </c>
      <c r="D37" s="1" t="s">
        <v>125</v>
      </c>
      <c r="E37" s="1" t="s">
        <v>126</v>
      </c>
      <c r="F37" s="1" t="str">
        <f>IF(C37&gt;0,"North",IF(C37&lt;0,"South","Equator"))</f>
        <v>South</v>
      </c>
      <c r="G37" s="7">
        <f>DEGREES(ACOS(MAX(-1,MIN(1,SIN(RADIANS(C37))*SIN(RADIANS('Sources and method'!$B$5))+COS(RADIANS(C37))*COS(RADIANS('Sources and method'!$B$5))*COS(RADIANS(B37-'Sources and method'!$B$4))))))</f>
        <v>26.072734610277902</v>
      </c>
    </row>
    <row r="38" spans="1:7" ht="15" customHeight="1" x14ac:dyDescent="0.25">
      <c r="A38" s="1" t="s">
        <v>194</v>
      </c>
      <c r="B38" s="6">
        <v>71.427039984431175</v>
      </c>
      <c r="C38" s="6">
        <v>-59.247258747868507</v>
      </c>
      <c r="D38" s="1" t="s">
        <v>195</v>
      </c>
      <c r="E38" s="1" t="s">
        <v>196</v>
      </c>
      <c r="F38" s="1" t="str">
        <f>IF(C38&gt;0,"North",IF(C38&lt;0,"South","Equator"))</f>
        <v>South</v>
      </c>
      <c r="G38" s="7">
        <f>DEGREES(ACOS(MAX(-1,MIN(1,SIN(RADIANS(C38))*SIN(RADIANS('Sources and method'!$B$5))+COS(RADIANS(C38))*COS(RADIANS('Sources and method'!$B$5))*COS(RADIANS(B38-'Sources and method'!$B$4))))))</f>
        <v>26.208386843667753</v>
      </c>
    </row>
    <row r="39" spans="1:7" ht="15" customHeight="1" x14ac:dyDescent="0.25">
      <c r="A39" s="1" t="s">
        <v>188</v>
      </c>
      <c r="B39" s="6">
        <v>64.402380825595102</v>
      </c>
      <c r="C39" s="6">
        <v>-62.783411146895475</v>
      </c>
      <c r="D39" s="1" t="s">
        <v>189</v>
      </c>
      <c r="E39" s="1" t="s">
        <v>190</v>
      </c>
      <c r="F39" s="1" t="str">
        <f>IF(C39&gt;0,"North",IF(C39&lt;0,"South","Equator"))</f>
        <v>South</v>
      </c>
      <c r="G39" s="7">
        <f>DEGREES(ACOS(MAX(-1,MIN(1,SIN(RADIANS(C39))*SIN(RADIANS('Sources and method'!$B$5))+COS(RADIANS(C39))*COS(RADIANS('Sources and method'!$B$5))*COS(RADIANS(B39-'Sources and method'!$B$4))))))</f>
        <v>28.000950811626783</v>
      </c>
    </row>
    <row r="40" spans="1:7" ht="15" customHeight="1" x14ac:dyDescent="0.25">
      <c r="A40" s="1" t="s">
        <v>27</v>
      </c>
      <c r="B40" s="6">
        <v>84.997147689462565</v>
      </c>
      <c r="C40" s="6">
        <v>-58.58537663138128</v>
      </c>
      <c r="D40" s="1" t="s">
        <v>28</v>
      </c>
      <c r="E40" s="1" t="s">
        <v>29</v>
      </c>
      <c r="F40" s="1" t="str">
        <f>IF(C40&gt;0,"North",IF(C40&lt;0,"South","Equator"))</f>
        <v>South</v>
      </c>
      <c r="G40" s="7">
        <f>DEGREES(ACOS(MAX(-1,MIN(1,SIN(RADIANS(C40))*SIN(RADIANS('Sources and method'!$B$5))+COS(RADIANS(C40))*COS(RADIANS('Sources and method'!$B$5))*COS(RADIANS(B40-'Sources and method'!$B$4))))))</f>
        <v>30.537405236007718</v>
      </c>
    </row>
    <row r="41" spans="1:7" ht="15" customHeight="1" x14ac:dyDescent="0.25">
      <c r="A41" s="1" t="s">
        <v>115</v>
      </c>
      <c r="B41" s="6">
        <v>22.619051602300832</v>
      </c>
      <c r="C41" s="6">
        <v>-22.667071245495521</v>
      </c>
      <c r="D41" s="1" t="s">
        <v>116</v>
      </c>
      <c r="E41" s="1" t="s">
        <v>117</v>
      </c>
      <c r="F41" s="1" t="str">
        <f>IF(C41&gt;0,"North",IF(C41&lt;0,"South","Equator"))</f>
        <v>South</v>
      </c>
      <c r="G41" s="7">
        <f>DEGREES(ACOS(MAX(-1,MIN(1,SIN(RADIANS(C41))*SIN(RADIANS('Sources and method'!$B$5))+COS(RADIANS(C41))*COS(RADIANS('Sources and method'!$B$5))*COS(RADIANS(B41-'Sources and method'!$B$4))))))</f>
        <v>30.57360732908289</v>
      </c>
    </row>
    <row r="42" spans="1:7" ht="15" customHeight="1" x14ac:dyDescent="0.25">
      <c r="A42" s="1" t="s">
        <v>24</v>
      </c>
      <c r="B42" s="6">
        <v>76.931539434011583</v>
      </c>
      <c r="C42" s="6">
        <v>-62.991086251797654</v>
      </c>
      <c r="D42" s="1" t="s">
        <v>25</v>
      </c>
      <c r="E42" s="1" t="s">
        <v>26</v>
      </c>
      <c r="F42" s="1" t="str">
        <f>IF(C42&gt;0,"North",IF(C42&lt;0,"South","Equator"))</f>
        <v>South</v>
      </c>
      <c r="G42" s="7">
        <f>DEGREES(ACOS(MAX(-1,MIN(1,SIN(RADIANS(C42))*SIN(RADIANS('Sources and method'!$B$5))+COS(RADIANS(C42))*COS(RADIANS('Sources and method'!$B$5))*COS(RADIANS(B42-'Sources and method'!$B$4))))))</f>
        <v>30.796389786269607</v>
      </c>
    </row>
    <row r="43" spans="1:7" ht="15" customHeight="1" x14ac:dyDescent="0.25">
      <c r="A43" s="1" t="s">
        <v>161</v>
      </c>
      <c r="B43" s="6">
        <v>49.56625838453192</v>
      </c>
      <c r="C43" s="6">
        <v>-66.498040824608438</v>
      </c>
      <c r="D43" s="1" t="s">
        <v>162</v>
      </c>
      <c r="E43" s="1" t="s">
        <v>163</v>
      </c>
      <c r="F43" s="1" t="str">
        <f>IF(C43&gt;0,"North",IF(C43&lt;0,"South","Equator"))</f>
        <v>South</v>
      </c>
      <c r="G43" s="7">
        <f>DEGREES(ACOS(MAX(-1,MIN(1,SIN(RADIANS(C43))*SIN(RADIANS('Sources and method'!$B$5))+COS(RADIANS(C43))*COS(RADIANS('Sources and method'!$B$5))*COS(RADIANS(B43-'Sources and method'!$B$4))))))</f>
        <v>31.187375339962525</v>
      </c>
    </row>
    <row r="44" spans="1:7" ht="15" customHeight="1" x14ac:dyDescent="0.25">
      <c r="A44" s="1" t="s">
        <v>142</v>
      </c>
      <c r="B44" s="6">
        <v>40.260378771529375</v>
      </c>
      <c r="C44" s="6">
        <v>-6.9358232769559018</v>
      </c>
      <c r="D44" s="1" t="s">
        <v>143</v>
      </c>
      <c r="E44" s="1" t="s">
        <v>144</v>
      </c>
      <c r="F44" s="1" t="str">
        <f>IF(C44&gt;0,"North",IF(C44&lt;0,"South","Equator"))</f>
        <v>South</v>
      </c>
      <c r="G44" s="7">
        <f>DEGREES(ACOS(MAX(-1,MIN(1,SIN(RADIANS(C44))*SIN(RADIANS('Sources and method'!$B$5))+COS(RADIANS(C44))*COS(RADIANS('Sources and method'!$B$5))*COS(RADIANS(B44-'Sources and method'!$B$4))))))</f>
        <v>31.413839892081818</v>
      </c>
    </row>
    <row r="45" spans="1:7" ht="15" customHeight="1" x14ac:dyDescent="0.25">
      <c r="A45" s="1" t="s">
        <v>136</v>
      </c>
      <c r="B45" s="6">
        <v>38.886128384143696</v>
      </c>
      <c r="C45" s="6">
        <v>-7.1543494582790732</v>
      </c>
      <c r="D45" s="1" t="s">
        <v>137</v>
      </c>
      <c r="E45" s="1" t="s">
        <v>138</v>
      </c>
      <c r="F45" s="1" t="str">
        <f>IF(C45&gt;0,"North",IF(C45&lt;0,"South","Equator"))</f>
        <v>South</v>
      </c>
      <c r="G45" s="7">
        <f>DEGREES(ACOS(MAX(-1,MIN(1,SIN(RADIANS(C45))*SIN(RADIANS('Sources and method'!$B$5))+COS(RADIANS(C45))*COS(RADIANS('Sources and method'!$B$5))*COS(RADIANS(B45-'Sources and method'!$B$4))))))</f>
        <v>31.764607733011289</v>
      </c>
    </row>
    <row r="46" spans="1:7" ht="15" customHeight="1" x14ac:dyDescent="0.25">
      <c r="A46" s="1" t="s">
        <v>139</v>
      </c>
      <c r="B46" s="6">
        <v>39.636274830409342</v>
      </c>
      <c r="C46" s="6">
        <v>-6.6774149988331963</v>
      </c>
      <c r="D46" s="1" t="s">
        <v>140</v>
      </c>
      <c r="E46" s="1" t="s">
        <v>141</v>
      </c>
      <c r="F46" s="1" t="str">
        <f>IF(C46&gt;0,"North",IF(C46&lt;0,"South","Equator"))</f>
        <v>South</v>
      </c>
      <c r="G46" s="7">
        <f>DEGREES(ACOS(MAX(-1,MIN(1,SIN(RADIANS(C46))*SIN(RADIANS('Sources and method'!$B$5))+COS(RADIANS(C46))*COS(RADIANS('Sources and method'!$B$5))*COS(RADIANS(B46-'Sources and method'!$B$4))))))</f>
        <v>31.895088831413194</v>
      </c>
    </row>
    <row r="47" spans="1:7" ht="15" customHeight="1" x14ac:dyDescent="0.25">
      <c r="A47" s="1" t="s">
        <v>464</v>
      </c>
      <c r="B47" s="6">
        <v>27.107389337934144</v>
      </c>
      <c r="C47" s="6">
        <v>-12.381289169587106</v>
      </c>
      <c r="D47" s="1" t="s">
        <v>465</v>
      </c>
      <c r="E47" s="1" t="s">
        <v>466</v>
      </c>
      <c r="F47" s="1" t="str">
        <f>IF(C47&gt;0,"North",IF(C47&lt;0,"South","Equator"))</f>
        <v>South</v>
      </c>
      <c r="G47" s="7">
        <f>DEGREES(ACOS(MAX(-1,MIN(1,SIN(RADIANS(C47))*SIN(RADIANS('Sources and method'!$B$5))+COS(RADIANS(C47))*COS(RADIANS('Sources and method'!$B$5))*COS(RADIANS(B47-'Sources and method'!$B$4))))))</f>
        <v>33.897133982959211</v>
      </c>
    </row>
    <row r="48" spans="1:7" ht="15" customHeight="1" x14ac:dyDescent="0.25">
      <c r="A48" s="1" t="s">
        <v>109</v>
      </c>
      <c r="B48" s="6">
        <v>13.176123612766588</v>
      </c>
      <c r="C48" s="6">
        <v>-31.20582665573653</v>
      </c>
      <c r="D48" s="1" t="s">
        <v>110</v>
      </c>
      <c r="E48" s="1" t="s">
        <v>111</v>
      </c>
      <c r="F48" s="1" t="str">
        <f>IF(C48&gt;0,"North",IF(C48&lt;0,"South","Equator"))</f>
        <v>South</v>
      </c>
      <c r="G48" s="7">
        <f>DEGREES(ACOS(MAX(-1,MIN(1,SIN(RADIANS(C48))*SIN(RADIANS('Sources and method'!$B$5))+COS(RADIANS(C48))*COS(RADIANS('Sources and method'!$B$5))*COS(RADIANS(B48-'Sources and method'!$B$4))))))</f>
        <v>34.635502259893897</v>
      </c>
    </row>
    <row r="49" spans="1:7" ht="15" customHeight="1" x14ac:dyDescent="0.25">
      <c r="A49" s="1" t="s">
        <v>467</v>
      </c>
      <c r="B49" s="6">
        <v>30.22900513132128</v>
      </c>
      <c r="C49" s="6">
        <v>-8.8410486679736788</v>
      </c>
      <c r="D49" s="1" t="s">
        <v>468</v>
      </c>
      <c r="E49" s="1" t="s">
        <v>469</v>
      </c>
      <c r="F49" s="1" t="str">
        <f>IF(C49&gt;0,"North",IF(C49&lt;0,"South","Equator"))</f>
        <v>South</v>
      </c>
      <c r="G49" s="7">
        <f>DEGREES(ACOS(MAX(-1,MIN(1,SIN(RADIANS(C49))*SIN(RADIANS('Sources and method'!$B$5))+COS(RADIANS(C49))*COS(RADIANS('Sources and method'!$B$5))*COS(RADIANS(B49-'Sources and method'!$B$4))))))</f>
        <v>34.691349414298124</v>
      </c>
    </row>
    <row r="50" spans="1:7" ht="15" customHeight="1" x14ac:dyDescent="0.25">
      <c r="A50" s="1" t="s">
        <v>127</v>
      </c>
      <c r="B50" s="6">
        <v>27.764868788941278</v>
      </c>
      <c r="C50" s="6">
        <v>-9.7031630397529209</v>
      </c>
      <c r="D50" s="1" t="s">
        <v>128</v>
      </c>
      <c r="E50" s="1" t="s">
        <v>129</v>
      </c>
      <c r="F50" s="1" t="str">
        <f>IF(C50&gt;0,"North",IF(C50&lt;0,"South","Equator"))</f>
        <v>South</v>
      </c>
      <c r="G50" s="7">
        <f>DEGREES(ACOS(MAX(-1,MIN(1,SIN(RADIANS(C50))*SIN(RADIANS('Sources and method'!$B$5))+COS(RADIANS(C50))*COS(RADIANS('Sources and method'!$B$5))*COS(RADIANS(B50-'Sources and method'!$B$4))))))</f>
        <v>35.500438558731226</v>
      </c>
    </row>
    <row r="51" spans="1:7" ht="15" customHeight="1" x14ac:dyDescent="0.25">
      <c r="A51" s="1" t="s">
        <v>491</v>
      </c>
      <c r="B51" s="6">
        <v>42.971077623649855</v>
      </c>
      <c r="C51" s="6">
        <v>-1.1721479024938406</v>
      </c>
      <c r="D51" s="1" t="s">
        <v>492</v>
      </c>
      <c r="E51" s="1" t="s">
        <v>493</v>
      </c>
      <c r="F51" s="1" t="str">
        <f>IF(C51&gt;0,"North",IF(C51&lt;0,"South","Equator"))</f>
        <v>South</v>
      </c>
      <c r="G51" s="7">
        <f>DEGREES(ACOS(MAX(-1,MIN(1,SIN(RADIANS(C51))*SIN(RADIANS('Sources and method'!$B$5))+COS(RADIANS(C51))*COS(RADIANS('Sources and method'!$B$5))*COS(RADIANS(B51-'Sources and method'!$B$4))))))</f>
        <v>35.949919413087919</v>
      </c>
    </row>
    <row r="52" spans="1:7" ht="15" customHeight="1" x14ac:dyDescent="0.25">
      <c r="A52" s="1" t="s">
        <v>18</v>
      </c>
      <c r="B52" s="6">
        <v>57.454456511758309</v>
      </c>
      <c r="C52" s="6">
        <v>-71.635597021108282</v>
      </c>
      <c r="D52" s="1" t="s">
        <v>19</v>
      </c>
      <c r="E52" s="1" t="s">
        <v>20</v>
      </c>
      <c r="F52" s="1" t="str">
        <f>IF(C52&gt;0,"North",IF(C52&lt;0,"South","Equator"))</f>
        <v>South</v>
      </c>
      <c r="G52" s="7">
        <f>DEGREES(ACOS(MAX(-1,MIN(1,SIN(RADIANS(C52))*SIN(RADIANS('Sources and method'!$B$5))+COS(RADIANS(C52))*COS(RADIANS('Sources and method'!$B$5))*COS(RADIANS(B52-'Sources and method'!$B$4))))))</f>
        <v>36.215291055944242</v>
      </c>
    </row>
    <row r="53" spans="1:7" ht="15" customHeight="1" x14ac:dyDescent="0.25">
      <c r="A53" s="1" t="s">
        <v>21</v>
      </c>
      <c r="B53" s="6">
        <v>10.181722788803127</v>
      </c>
      <c r="C53" s="6">
        <v>-63.443442671843925</v>
      </c>
      <c r="D53" s="1" t="s">
        <v>22</v>
      </c>
      <c r="E53" s="1" t="s">
        <v>23</v>
      </c>
      <c r="F53" s="1" t="str">
        <f>IF(C53&gt;0,"North",IF(C53&lt;0,"South","Equator"))</f>
        <v>South</v>
      </c>
      <c r="G53" s="7">
        <f>DEGREES(ACOS(MAX(-1,MIN(1,SIN(RADIANS(C53))*SIN(RADIANS('Sources and method'!$B$5))+COS(RADIANS(C53))*COS(RADIANS('Sources and method'!$B$5))*COS(RADIANS(B53-'Sources and method'!$B$4))))))</f>
        <v>38.845219326478755</v>
      </c>
    </row>
    <row r="54" spans="1:7" ht="15" customHeight="1" x14ac:dyDescent="0.25">
      <c r="A54" s="1" t="s">
        <v>488</v>
      </c>
      <c r="B54" s="6">
        <v>42.287974291607441</v>
      </c>
      <c r="C54" s="6">
        <v>2.127950661615293</v>
      </c>
      <c r="D54" s="1" t="s">
        <v>489</v>
      </c>
      <c r="E54" s="1" t="s">
        <v>490</v>
      </c>
      <c r="F54" s="1" t="str">
        <f>IF(C54&gt;0,"North",IF(C54&lt;0,"South","Equator"))</f>
        <v>North</v>
      </c>
      <c r="G54" s="7">
        <f>DEGREES(ACOS(MAX(-1,MIN(1,SIN(RADIANS(C54))*SIN(RADIANS('Sources and method'!$B$5))+COS(RADIANS(C54))*COS(RADIANS('Sources and method'!$B$5))*COS(RADIANS(B54-'Sources and method'!$B$4))))))</f>
        <v>39.309991373925108</v>
      </c>
    </row>
    <row r="55" spans="1:7" ht="15" customHeight="1" x14ac:dyDescent="0.25">
      <c r="A55" s="1" t="s">
        <v>118</v>
      </c>
      <c r="B55" s="6">
        <v>23.271860973119647</v>
      </c>
      <c r="C55" s="6">
        <v>-7.3117166457569951</v>
      </c>
      <c r="D55" s="1" t="s">
        <v>119</v>
      </c>
      <c r="E55" s="1" t="s">
        <v>120</v>
      </c>
      <c r="F55" s="1" t="str">
        <f>IF(C55&gt;0,"North",IF(C55&lt;0,"South","Equator"))</f>
        <v>South</v>
      </c>
      <c r="G55" s="7">
        <f>DEGREES(ACOS(MAX(-1,MIN(1,SIN(RADIANS(C55))*SIN(RADIANS('Sources and method'!$B$5))+COS(RADIANS(C55))*COS(RADIANS('Sources and method'!$B$5))*COS(RADIANS(B55-'Sources and method'!$B$4))))))</f>
        <v>40.195350154615532</v>
      </c>
    </row>
    <row r="56" spans="1:7" ht="15" customHeight="1" x14ac:dyDescent="0.25">
      <c r="A56" s="1" t="s">
        <v>461</v>
      </c>
      <c r="B56" s="6">
        <v>10.439417407462845</v>
      </c>
      <c r="C56" s="6">
        <v>-16.860798232210787</v>
      </c>
      <c r="D56" s="1" t="s">
        <v>462</v>
      </c>
      <c r="E56" s="1" t="s">
        <v>463</v>
      </c>
      <c r="F56" s="1" t="str">
        <f>IF(C56&gt;0,"North",IF(C56&lt;0,"South","Equator"))</f>
        <v>South</v>
      </c>
      <c r="G56" s="7">
        <f>DEGREES(ACOS(MAX(-1,MIN(1,SIN(RADIANS(C56))*SIN(RADIANS('Sources and method'!$B$5))+COS(RADIANS(C56))*COS(RADIANS('Sources and method'!$B$5))*COS(RADIANS(B56-'Sources and method'!$B$4))))))</f>
        <v>43.339315008489315</v>
      </c>
    </row>
    <row r="57" spans="1:7" ht="15" customHeight="1" x14ac:dyDescent="0.25">
      <c r="A57" s="1" t="s">
        <v>455</v>
      </c>
      <c r="B57" s="6">
        <v>357.7241809885341</v>
      </c>
      <c r="C57" s="6">
        <v>-40.730059292202263</v>
      </c>
      <c r="D57" s="1" t="s">
        <v>456</v>
      </c>
      <c r="E57" s="1" t="s">
        <v>457</v>
      </c>
      <c r="F57" s="1" t="str">
        <f>IF(C57&gt;0,"North",IF(C57&lt;0,"South","Equator"))</f>
        <v>South</v>
      </c>
      <c r="G57" s="7">
        <f>DEGREES(ACOS(MAX(-1,MIN(1,SIN(RADIANS(C57))*SIN(RADIANS('Sources and method'!$B$5))+COS(RADIANS(C57))*COS(RADIANS('Sources and method'!$B$5))*COS(RADIANS(B57-'Sources and method'!$B$4))))))</f>
        <v>44.308428168251517</v>
      </c>
    </row>
    <row r="58" spans="1:7" ht="15" customHeight="1" x14ac:dyDescent="0.25">
      <c r="A58" s="1" t="s">
        <v>103</v>
      </c>
      <c r="B58" s="6">
        <v>10.145695489928782</v>
      </c>
      <c r="C58" s="6">
        <v>-13.872792909287067</v>
      </c>
      <c r="D58" s="1" t="s">
        <v>104</v>
      </c>
      <c r="E58" s="1" t="s">
        <v>105</v>
      </c>
      <c r="F58" s="1" t="str">
        <f>IF(C58&gt;0,"North",IF(C58&lt;0,"South","Equator"))</f>
        <v>South</v>
      </c>
      <c r="G58" s="7">
        <f>DEGREES(ACOS(MAX(-1,MIN(1,SIN(RADIANS(C58))*SIN(RADIANS('Sources and method'!$B$5))+COS(RADIANS(C58))*COS(RADIANS('Sources and method'!$B$5))*COS(RADIANS(B58-'Sources and method'!$B$4))))))</f>
        <v>45.301295865056424</v>
      </c>
    </row>
    <row r="59" spans="1:7" ht="15" customHeight="1" x14ac:dyDescent="0.25">
      <c r="A59" s="1" t="s">
        <v>106</v>
      </c>
      <c r="B59" s="6">
        <v>11.946800546006648</v>
      </c>
      <c r="C59" s="6">
        <v>-11.468614557966452</v>
      </c>
      <c r="D59" s="1" t="s">
        <v>107</v>
      </c>
      <c r="E59" s="1" t="s">
        <v>108</v>
      </c>
      <c r="F59" s="1" t="str">
        <f>IF(C59&gt;0,"North",IF(C59&lt;0,"South","Equator"))</f>
        <v>South</v>
      </c>
      <c r="G59" s="7">
        <f>DEGREES(ACOS(MAX(-1,MIN(1,SIN(RADIANS(C59))*SIN(RADIANS('Sources and method'!$B$5))+COS(RADIANS(C59))*COS(RADIANS('Sources and method'!$B$5))*COS(RADIANS(B59-'Sources and method'!$B$4))))))</f>
        <v>45.389502922045601</v>
      </c>
    </row>
    <row r="60" spans="1:7" ht="15" customHeight="1" x14ac:dyDescent="0.25">
      <c r="A60" s="1" t="s">
        <v>10</v>
      </c>
      <c r="B60" s="6">
        <v>23.201862519018263</v>
      </c>
      <c r="C60" s="6">
        <v>-79.473904159292118</v>
      </c>
      <c r="D60" s="1" t="s">
        <v>11</v>
      </c>
      <c r="E60" s="1" t="s">
        <v>12</v>
      </c>
      <c r="F60" s="1" t="str">
        <f>IF(C60&gt;0,"North",IF(C60&lt;0,"South","Equator"))</f>
        <v>South</v>
      </c>
      <c r="G60" s="7">
        <f>DEGREES(ACOS(MAX(-1,MIN(1,SIN(RADIANS(C60))*SIN(RADIANS('Sources and method'!$B$5))+COS(RADIANS(C60))*COS(RADIANS('Sources and method'!$B$5))*COS(RADIANS(B60-'Sources and method'!$B$4))))))</f>
        <v>45.79411664457561</v>
      </c>
    </row>
    <row r="61" spans="1:7" ht="15" customHeight="1" x14ac:dyDescent="0.25">
      <c r="A61" s="1" t="s">
        <v>112</v>
      </c>
      <c r="B61" s="6">
        <v>13.759511743567041</v>
      </c>
      <c r="C61" s="6">
        <v>-7.3329695707212705</v>
      </c>
      <c r="D61" s="1" t="s">
        <v>113</v>
      </c>
      <c r="E61" s="1" t="s">
        <v>114</v>
      </c>
      <c r="F61" s="1" t="str">
        <f>IF(C61&gt;0,"North",IF(C61&lt;0,"South","Equator"))</f>
        <v>South</v>
      </c>
      <c r="G61" s="7">
        <f>DEGREES(ACOS(MAX(-1,MIN(1,SIN(RADIANS(C61))*SIN(RADIANS('Sources and method'!$B$5))+COS(RADIANS(C61))*COS(RADIANS('Sources and method'!$B$5))*COS(RADIANS(B61-'Sources and method'!$B$4))))))</f>
        <v>46.758426590413684</v>
      </c>
    </row>
    <row r="62" spans="1:7" ht="15" customHeight="1" x14ac:dyDescent="0.25">
      <c r="A62" s="1" t="s">
        <v>452</v>
      </c>
      <c r="B62" s="6">
        <v>349.5981249614058</v>
      </c>
      <c r="C62" s="6">
        <v>-42.3700845756834</v>
      </c>
      <c r="D62" s="1" t="s">
        <v>453</v>
      </c>
      <c r="E62" s="1" t="s">
        <v>454</v>
      </c>
      <c r="F62" s="1" t="str">
        <f>IF(C62&gt;0,"North",IF(C62&lt;0,"South","Equator"))</f>
        <v>South</v>
      </c>
      <c r="G62" s="7">
        <f>DEGREES(ACOS(MAX(-1,MIN(1,SIN(RADIANS(C62))*SIN(RADIANS('Sources and method'!$B$5))+COS(RADIANS(C62))*COS(RADIANS('Sources and method'!$B$5))*COS(RADIANS(B62-'Sources and method'!$B$4))))))</f>
        <v>49.834024134828333</v>
      </c>
    </row>
    <row r="63" spans="1:7" ht="15" customHeight="1" x14ac:dyDescent="0.25">
      <c r="A63" s="1" t="s">
        <v>446</v>
      </c>
      <c r="B63" s="6">
        <v>348.70187469541503</v>
      </c>
      <c r="C63" s="6">
        <v>-43.599870727038045</v>
      </c>
      <c r="D63" s="1" t="s">
        <v>447</v>
      </c>
      <c r="E63" s="1" t="s">
        <v>448</v>
      </c>
      <c r="F63" s="1" t="str">
        <f>IF(C63&gt;0,"North",IF(C63&lt;0,"South","Equator"))</f>
        <v>South</v>
      </c>
      <c r="G63" s="7">
        <f>DEGREES(ACOS(MAX(-1,MIN(1,SIN(RADIANS(C63))*SIN(RADIANS('Sources and method'!$B$5))+COS(RADIANS(C63))*COS(RADIANS('Sources and method'!$B$5))*COS(RADIANS(B63-'Sources and method'!$B$4))))))</f>
        <v>50.15730159499676</v>
      </c>
    </row>
    <row r="64" spans="1:7" ht="15" customHeight="1" x14ac:dyDescent="0.25">
      <c r="A64" s="1" t="s">
        <v>449</v>
      </c>
      <c r="B64" s="6">
        <v>349.04519425191614</v>
      </c>
      <c r="C64" s="6">
        <v>-42.585170200602512</v>
      </c>
      <c r="D64" s="1" t="s">
        <v>450</v>
      </c>
      <c r="E64" s="1" t="s">
        <v>451</v>
      </c>
      <c r="F64" s="1" t="str">
        <f>IF(C64&gt;0,"North",IF(C64&lt;0,"South","Equator"))</f>
        <v>South</v>
      </c>
      <c r="G64" s="7">
        <f>DEGREES(ACOS(MAX(-1,MIN(1,SIN(RADIANS(C64))*SIN(RADIANS('Sources and method'!$B$5))+COS(RADIANS(C64))*COS(RADIANS('Sources and method'!$B$5))*COS(RADIANS(B64-'Sources and method'!$B$4))))))</f>
        <v>50.172428205285939</v>
      </c>
    </row>
    <row r="65" spans="1:7" ht="15" customHeight="1" x14ac:dyDescent="0.25">
      <c r="A65" s="1" t="s">
        <v>440</v>
      </c>
      <c r="B65" s="6">
        <v>347.44703402676197</v>
      </c>
      <c r="C65" s="6">
        <v>-43.427849171779592</v>
      </c>
      <c r="D65" s="1" t="s">
        <v>441</v>
      </c>
      <c r="E65" s="1" t="s">
        <v>442</v>
      </c>
      <c r="F65" s="1" t="str">
        <f>IF(C65&gt;0,"North",IF(C65&lt;0,"South","Equator"))</f>
        <v>South</v>
      </c>
      <c r="G65" s="7">
        <f>DEGREES(ACOS(MAX(-1,MIN(1,SIN(RADIANS(C65))*SIN(RADIANS('Sources and method'!$B$5))+COS(RADIANS(C65))*COS(RADIANS('Sources and method'!$B$5))*COS(RADIANS(B65-'Sources and method'!$B$4))))))</f>
        <v>51.08106941592343</v>
      </c>
    </row>
    <row r="66" spans="1:7" ht="15" customHeight="1" x14ac:dyDescent="0.25">
      <c r="A66" s="1" t="s">
        <v>437</v>
      </c>
      <c r="B66" s="6">
        <v>344.3265296289826</v>
      </c>
      <c r="C66" s="6">
        <v>-41.070625825358761</v>
      </c>
      <c r="D66" s="1" t="s">
        <v>438</v>
      </c>
      <c r="E66" s="1" t="s">
        <v>439</v>
      </c>
      <c r="F66" s="1" t="str">
        <f>IF(C66&gt;0,"North",IF(C66&lt;0,"South","Equator"))</f>
        <v>South</v>
      </c>
      <c r="G66" s="7">
        <f>DEGREES(ACOS(MAX(-1,MIN(1,SIN(RADIANS(C66))*SIN(RADIANS('Sources and method'!$B$5))+COS(RADIANS(C66))*COS(RADIANS('Sources and method'!$B$5))*COS(RADIANS(B66-'Sources and method'!$B$4))))))</f>
        <v>53.975409882385406</v>
      </c>
    </row>
    <row r="67" spans="1:7" ht="15" customHeight="1" x14ac:dyDescent="0.25">
      <c r="A67" s="1" t="s">
        <v>100</v>
      </c>
      <c r="B67" s="6">
        <v>344.86117890000435</v>
      </c>
      <c r="C67" s="6">
        <v>-37.70283917178881</v>
      </c>
      <c r="D67" s="1" t="s">
        <v>101</v>
      </c>
      <c r="E67" s="1" t="s">
        <v>102</v>
      </c>
      <c r="F67" s="1" t="str">
        <f>IF(C67&gt;0,"North",IF(C67&lt;0,"South","Equator"))</f>
        <v>South</v>
      </c>
      <c r="G67" s="7">
        <f>DEGREES(ACOS(MAX(-1,MIN(1,SIN(RADIANS(C67))*SIN(RADIANS('Sources and method'!$B$5))+COS(RADIANS(C67))*COS(RADIANS('Sources and method'!$B$5))*COS(RADIANS(B67-'Sources and method'!$B$4))))))</f>
        <v>54.712251870944129</v>
      </c>
    </row>
    <row r="68" spans="1:7" ht="15" customHeight="1" x14ac:dyDescent="0.25">
      <c r="A68" s="1" t="s">
        <v>434</v>
      </c>
      <c r="B68" s="6">
        <v>344.15044822027215</v>
      </c>
      <c r="C68" s="6">
        <v>-37.030003746006869</v>
      </c>
      <c r="D68" s="1" t="s">
        <v>435</v>
      </c>
      <c r="E68" s="1" t="s">
        <v>436</v>
      </c>
      <c r="F68" s="1" t="str">
        <f>IF(C68&gt;0,"North",IF(C68&lt;0,"South","Equator"))</f>
        <v>South</v>
      </c>
      <c r="G68" s="7">
        <f>DEGREES(ACOS(MAX(-1,MIN(1,SIN(RADIANS(C68))*SIN(RADIANS('Sources and method'!$B$5))+COS(RADIANS(C68))*COS(RADIANS('Sources and method'!$B$5))*COS(RADIANS(B68-'Sources and method'!$B$4))))))</f>
        <v>55.480101609776632</v>
      </c>
    </row>
    <row r="69" spans="1:7" ht="15" customHeight="1" x14ac:dyDescent="0.25">
      <c r="A69" s="1" t="s">
        <v>443</v>
      </c>
      <c r="B69" s="6">
        <v>348.30854678036917</v>
      </c>
      <c r="C69" s="6">
        <v>-28.357517912814671</v>
      </c>
      <c r="D69" s="1" t="s">
        <v>444</v>
      </c>
      <c r="E69" s="1" t="s">
        <v>445</v>
      </c>
      <c r="F69" s="1" t="str">
        <f>IF(C69&gt;0,"North",IF(C69&lt;0,"South","Equator"))</f>
        <v>South</v>
      </c>
      <c r="G69" s="7">
        <f>DEGREES(ACOS(MAX(-1,MIN(1,SIN(RADIANS(C69))*SIN(RADIANS('Sources and method'!$B$5))+COS(RADIANS(C69))*COS(RADIANS('Sources and method'!$B$5))*COS(RADIANS(B69-'Sources and method'!$B$4))))))</f>
        <v>55.703111149790736</v>
      </c>
    </row>
    <row r="70" spans="1:7" ht="15" customHeight="1" x14ac:dyDescent="0.25">
      <c r="A70" s="1" t="s">
        <v>130</v>
      </c>
      <c r="B70" s="6">
        <v>36.461669607062703</v>
      </c>
      <c r="C70" s="6">
        <v>18.496318745125386</v>
      </c>
      <c r="D70" s="1" t="s">
        <v>131</v>
      </c>
      <c r="E70" s="1" t="s">
        <v>132</v>
      </c>
      <c r="F70" s="1" t="str">
        <f>IF(C70&gt;0,"North",IF(C70&lt;0,"South","Equator"))</f>
        <v>North</v>
      </c>
      <c r="G70" s="7">
        <f>DEGREES(ACOS(MAX(-1,MIN(1,SIN(RADIANS(C70))*SIN(RADIANS('Sources and method'!$B$5))+COS(RADIANS(C70))*COS(RADIANS('Sources and method'!$B$5))*COS(RADIANS(B70-'Sources and method'!$B$4))))))</f>
        <v>56.629247111079522</v>
      </c>
    </row>
    <row r="71" spans="1:7" ht="15" customHeight="1" x14ac:dyDescent="0.25">
      <c r="A71" s="1" t="s">
        <v>15</v>
      </c>
      <c r="B71" s="6">
        <v>306.24522969200592</v>
      </c>
      <c r="C71" s="6">
        <v>-81.576603426687811</v>
      </c>
      <c r="D71" s="1" t="s">
        <v>16</v>
      </c>
      <c r="E71" s="1" t="s">
        <v>17</v>
      </c>
      <c r="F71" s="1" t="str">
        <f>IF(C71&gt;0,"North",IF(C71&lt;0,"South","Equator"))</f>
        <v>South</v>
      </c>
      <c r="G71" s="7">
        <f>DEGREES(ACOS(MAX(-1,MIN(1,SIN(RADIANS(C71))*SIN(RADIANS('Sources and method'!$B$5))+COS(RADIANS(C71))*COS(RADIANS('Sources and method'!$B$5))*COS(RADIANS(B71-'Sources and method'!$B$4))))))</f>
        <v>57.579618548520337</v>
      </c>
    </row>
    <row r="72" spans="1:7" ht="15" customHeight="1" x14ac:dyDescent="0.25">
      <c r="A72" s="1" t="s">
        <v>33</v>
      </c>
      <c r="B72" s="6">
        <v>326.311090867796</v>
      </c>
      <c r="C72" s="6">
        <v>-49.00847542144286</v>
      </c>
      <c r="D72" s="1" t="s">
        <v>34</v>
      </c>
      <c r="E72" s="1" t="s">
        <v>35</v>
      </c>
      <c r="F72" s="1" t="str">
        <f>IF(C72&gt;0,"North",IF(C72&lt;0,"South","Equator"))</f>
        <v>South</v>
      </c>
      <c r="G72" s="7">
        <f>DEGREES(ACOS(MAX(-1,MIN(1,SIN(RADIANS(C72))*SIN(RADIANS('Sources and method'!$B$5))+COS(RADIANS(C72))*COS(RADIANS('Sources and method'!$B$5))*COS(RADIANS(B72-'Sources and method'!$B$4))))))</f>
        <v>63.028456425451616</v>
      </c>
    </row>
    <row r="73" spans="1:7" ht="15" customHeight="1" x14ac:dyDescent="0.25">
      <c r="A73" s="1" t="s">
        <v>121</v>
      </c>
      <c r="B73" s="6">
        <v>26.974978458489815</v>
      </c>
      <c r="C73" s="6">
        <v>27.432254408156609</v>
      </c>
      <c r="D73" s="1" t="s">
        <v>122</v>
      </c>
      <c r="E73" s="1" t="s">
        <v>123</v>
      </c>
      <c r="F73" s="1" t="str">
        <f>IF(C73&gt;0,"North",IF(C73&lt;0,"South","Equator"))</f>
        <v>North</v>
      </c>
      <c r="G73" s="7">
        <f>DEGREES(ACOS(MAX(-1,MIN(1,SIN(RADIANS(C73))*SIN(RADIANS('Sources and method'!$B$5))+COS(RADIANS(C73))*COS(RADIANS('Sources and method'!$B$5))*COS(RADIANS(B73-'Sources and method'!$B$4))))))</f>
        <v>68.0830579391302</v>
      </c>
    </row>
    <row r="74" spans="1:7" ht="15" customHeight="1" x14ac:dyDescent="0.25">
      <c r="A74" s="1" t="s">
        <v>97</v>
      </c>
      <c r="B74" s="6">
        <v>298.59820372924395</v>
      </c>
      <c r="C74" s="6">
        <v>-58.713586568484651</v>
      </c>
      <c r="D74" s="1" t="s">
        <v>98</v>
      </c>
      <c r="E74" s="1" t="s">
        <v>99</v>
      </c>
      <c r="F74" s="1" t="str">
        <f>IF(C74&gt;0,"North",IF(C74&lt;0,"South","Equator"))</f>
        <v>South</v>
      </c>
      <c r="G74" s="7">
        <f>DEGREES(ACOS(MAX(-1,MIN(1,SIN(RADIANS(C74))*SIN(RADIANS('Sources and method'!$B$5))+COS(RADIANS(C74))*COS(RADIANS('Sources and method'!$B$5))*COS(RADIANS(B74-'Sources and method'!$B$4))))))</f>
        <v>71.937285972268342</v>
      </c>
    </row>
    <row r="75" spans="1:7" ht="15" customHeight="1" x14ac:dyDescent="0.25">
      <c r="A75" s="1" t="s">
        <v>458</v>
      </c>
      <c r="B75" s="6">
        <v>359.90310646383881</v>
      </c>
      <c r="C75" s="6">
        <v>14.807052918763686</v>
      </c>
      <c r="D75" s="1" t="s">
        <v>459</v>
      </c>
      <c r="E75" s="1" t="s">
        <v>460</v>
      </c>
      <c r="F75" s="1" t="str">
        <f>IF(C75&gt;0,"North",IF(C75&lt;0,"South","Equator"))</f>
        <v>North</v>
      </c>
      <c r="G75" s="7">
        <f>DEGREES(ACOS(MAX(-1,MIN(1,SIN(RADIANS(C75))*SIN(RADIANS('Sources and method'!$B$5))+COS(RADIANS(C75))*COS(RADIANS('Sources and method'!$B$5))*COS(RADIANS(B75-'Sources and method'!$B$4))))))</f>
        <v>72.141454059327401</v>
      </c>
    </row>
    <row r="76" spans="1:7" ht="15" customHeight="1" x14ac:dyDescent="0.25">
      <c r="A76" s="1" t="s">
        <v>557</v>
      </c>
      <c r="B76" s="6">
        <v>340.39115208367508</v>
      </c>
      <c r="C76" s="6">
        <v>0.40053084579994058</v>
      </c>
      <c r="D76" s="1" t="s">
        <v>558</v>
      </c>
      <c r="E76" s="1" t="s">
        <v>559</v>
      </c>
      <c r="F76" s="1" t="str">
        <f>IF(C76&gt;0,"North",IF(C76&lt;0,"South","Equator"))</f>
        <v>North</v>
      </c>
      <c r="G76" s="7">
        <f>DEGREES(ACOS(MAX(-1,MIN(1,SIN(RADIANS(C76))*SIN(RADIANS('Sources and method'!$B$5))+COS(RADIANS(C76))*COS(RADIANS('Sources and method'!$B$5))*COS(RADIANS(B76-'Sources and method'!$B$4))))))</f>
        <v>77.447583666557676</v>
      </c>
    </row>
    <row r="77" spans="1:7" ht="15" customHeight="1" x14ac:dyDescent="0.25">
      <c r="A77" s="1" t="s">
        <v>257</v>
      </c>
      <c r="B77" s="6">
        <v>171.30361563168228</v>
      </c>
      <c r="C77" s="6">
        <v>-26.736712083609092</v>
      </c>
      <c r="D77" s="1" t="s">
        <v>258</v>
      </c>
      <c r="E77" s="1" t="s">
        <v>259</v>
      </c>
      <c r="F77" s="1" t="str">
        <f>IF(C77&gt;0,"North",IF(C77&lt;0,"South","Equator"))</f>
        <v>South</v>
      </c>
      <c r="G77" s="7">
        <f>DEGREES(ACOS(MAX(-1,MIN(1,SIN(RADIANS(C77))*SIN(RADIANS('Sources and method'!$B$5))+COS(RADIANS(C77))*COS(RADIANS('Sources and method'!$B$5))*COS(RADIANS(B77-'Sources and method'!$B$4))))))</f>
        <v>93.76994131832123</v>
      </c>
    </row>
    <row r="78" spans="1:7" ht="15" customHeight="1" x14ac:dyDescent="0.25">
      <c r="A78" s="1" t="s">
        <v>67</v>
      </c>
      <c r="B78" s="6">
        <v>154.29539972642561</v>
      </c>
      <c r="C78" s="6">
        <v>-3.4985061724208952</v>
      </c>
      <c r="D78" s="1" t="s">
        <v>68</v>
      </c>
      <c r="E78" s="1" t="s">
        <v>69</v>
      </c>
      <c r="F78" s="1" t="str">
        <f>IF(C78&gt;0,"North",IF(C78&lt;0,"South","Equator"))</f>
        <v>South</v>
      </c>
      <c r="G78" s="7">
        <f>DEGREES(ACOS(MAX(-1,MIN(1,SIN(RADIANS(C78))*SIN(RADIANS('Sources and method'!$B$5))+COS(RADIANS(C78))*COS(RADIANS('Sources and method'!$B$5))*COS(RADIANS(B78-'Sources and method'!$B$4))))))</f>
        <v>95.81082385520395</v>
      </c>
    </row>
    <row r="79" spans="1:7" ht="15" customHeight="1" x14ac:dyDescent="0.25">
      <c r="A79" s="1" t="s">
        <v>52</v>
      </c>
      <c r="B79" s="6">
        <v>180.69319956416231</v>
      </c>
      <c r="C79" s="6">
        <v>-29.093842095915551</v>
      </c>
      <c r="D79" s="1" t="s">
        <v>53</v>
      </c>
      <c r="E79" s="1" t="s">
        <v>54</v>
      </c>
      <c r="F79" s="1" t="str">
        <f>IF(C79&gt;0,"North",IF(C79&lt;0,"South","Equator"))</f>
        <v>South</v>
      </c>
      <c r="G79" s="7">
        <f>DEGREES(ACOS(MAX(-1,MIN(1,SIN(RADIANS(C79))*SIN(RADIANS('Sources and method'!$B$5))+COS(RADIANS(C79))*COS(RADIANS('Sources and method'!$B$5))*COS(RADIANS(B79-'Sources and method'!$B$4))))))</f>
        <v>97.880378881118816</v>
      </c>
    </row>
    <row r="80" spans="1:7" ht="15" customHeight="1" x14ac:dyDescent="0.25">
      <c r="A80" s="1" t="s">
        <v>212</v>
      </c>
      <c r="B80" s="6">
        <v>143.04211608464919</v>
      </c>
      <c r="C80" s="6">
        <v>21.500841328755715</v>
      </c>
      <c r="D80" s="1" t="s">
        <v>213</v>
      </c>
      <c r="E80" s="1" t="s">
        <v>214</v>
      </c>
      <c r="F80" s="1" t="str">
        <f>IF(C80&gt;0,"North",IF(C80&lt;0,"South","Equator"))</f>
        <v>North</v>
      </c>
      <c r="G80" s="7">
        <f>DEGREES(ACOS(MAX(-1,MIN(1,SIN(RADIANS(C80))*SIN(RADIANS('Sources and method'!$B$5))+COS(RADIANS(C80))*COS(RADIANS('Sources and method'!$B$5))*COS(RADIANS(B80-'Sources and method'!$B$4))))))</f>
        <v>101.05165809034069</v>
      </c>
    </row>
    <row r="81" spans="1:7" ht="15" customHeight="1" x14ac:dyDescent="0.25">
      <c r="A81" s="1" t="s">
        <v>64</v>
      </c>
      <c r="B81" s="6">
        <v>179.60631168218561</v>
      </c>
      <c r="C81" s="6">
        <v>-22.440045826363143</v>
      </c>
      <c r="D81" s="1" t="s">
        <v>65</v>
      </c>
      <c r="E81" s="1" t="s">
        <v>66</v>
      </c>
      <c r="F81" s="1" t="str">
        <f>IF(C81&gt;0,"North",IF(C81&lt;0,"South","Equator"))</f>
        <v>South</v>
      </c>
      <c r="G81" s="7">
        <f>DEGREES(ACOS(MAX(-1,MIN(1,SIN(RADIANS(C81))*SIN(RADIANS('Sources and method'!$B$5))+COS(RADIANS(C81))*COS(RADIANS('Sources and method'!$B$5))*COS(RADIANS(B81-'Sources and method'!$B$4))))))</f>
        <v>102.14034530539882</v>
      </c>
    </row>
    <row r="82" spans="1:7" ht="15" customHeight="1" x14ac:dyDescent="0.25">
      <c r="A82" s="1" t="s">
        <v>206</v>
      </c>
      <c r="B82" s="6">
        <v>120.47160387530556</v>
      </c>
      <c r="C82" s="6">
        <v>50.737117085857101</v>
      </c>
      <c r="D82" s="1" t="s">
        <v>207</v>
      </c>
      <c r="E82" s="1" t="s">
        <v>208</v>
      </c>
      <c r="F82" s="1" t="str">
        <f>IF(C82&gt;0,"North",IF(C82&lt;0,"South","Equator"))</f>
        <v>North</v>
      </c>
      <c r="G82" s="7">
        <f>DEGREES(ACOS(MAX(-1,MIN(1,SIN(RADIANS(C82))*SIN(RADIANS('Sources and method'!$B$5))+COS(RADIANS(C82))*COS(RADIANS('Sources and method'!$B$5))*COS(RADIANS(B82-'Sources and method'!$B$4))))))</f>
        <v>103.7770467438457</v>
      </c>
    </row>
    <row r="83" spans="1:7" ht="15" customHeight="1" x14ac:dyDescent="0.25">
      <c r="A83" s="1" t="s">
        <v>494</v>
      </c>
      <c r="B83" s="6">
        <v>126.5183667759259</v>
      </c>
      <c r="C83" s="6">
        <v>45.967727923713298</v>
      </c>
      <c r="D83" s="1" t="s">
        <v>495</v>
      </c>
      <c r="E83" s="1" t="s">
        <v>496</v>
      </c>
      <c r="F83" s="1" t="str">
        <f>IF(C83&gt;0,"North",IF(C83&lt;0,"South","Equator"))</f>
        <v>North</v>
      </c>
      <c r="G83" s="7">
        <f>DEGREES(ACOS(MAX(-1,MIN(1,SIN(RADIANS(C83))*SIN(RADIANS('Sources and method'!$B$5))+COS(RADIANS(C83))*COS(RADIANS('Sources and method'!$B$5))*COS(RADIANS(B83-'Sources and method'!$B$4))))))</f>
        <v>103.94899250377779</v>
      </c>
    </row>
    <row r="84" spans="1:7" ht="15" customHeight="1" x14ac:dyDescent="0.25">
      <c r="A84" s="1" t="s">
        <v>55</v>
      </c>
      <c r="B84" s="6">
        <v>198.80855068216027</v>
      </c>
      <c r="C84" s="6">
        <v>-32.254060818837651</v>
      </c>
      <c r="D84" s="1" t="s">
        <v>56</v>
      </c>
      <c r="E84" s="1" t="s">
        <v>57</v>
      </c>
      <c r="F84" s="1" t="str">
        <f>IF(C84&gt;0,"North",IF(C84&lt;0,"South","Equator"))</f>
        <v>South</v>
      </c>
      <c r="G84" s="7">
        <f>DEGREES(ACOS(MAX(-1,MIN(1,SIN(RADIANS(C84))*SIN(RADIANS('Sources and method'!$B$5))+COS(RADIANS(C84))*COS(RADIANS('Sources and method'!$B$5))*COS(RADIANS(B84-'Sources and method'!$B$4))))))</f>
        <v>104.42600662902922</v>
      </c>
    </row>
    <row r="85" spans="1:7" ht="15" customHeight="1" x14ac:dyDescent="0.25">
      <c r="A85" s="1" t="s">
        <v>500</v>
      </c>
      <c r="B85" s="6">
        <v>140.81327875114815</v>
      </c>
      <c r="C85" s="6">
        <v>34.734406670019482</v>
      </c>
      <c r="D85" s="1" t="s">
        <v>501</v>
      </c>
      <c r="E85" s="1" t="s">
        <v>502</v>
      </c>
      <c r="F85" s="1" t="str">
        <f>IF(C85&gt;0,"North",IF(C85&lt;0,"South","Equator"))</f>
        <v>North</v>
      </c>
      <c r="G85" s="7">
        <f>DEGREES(ACOS(MAX(-1,MIN(1,SIN(RADIANS(C85))*SIN(RADIANS('Sources and method'!$B$5))+COS(RADIANS(C85))*COS(RADIANS('Sources and method'!$B$5))*COS(RADIANS(B85-'Sources and method'!$B$4))))))</f>
        <v>106.61927460499044</v>
      </c>
    </row>
    <row r="86" spans="1:7" ht="15" customHeight="1" x14ac:dyDescent="0.25">
      <c r="A86" s="1" t="s">
        <v>509</v>
      </c>
      <c r="B86" s="6">
        <v>156.16709865942011</v>
      </c>
      <c r="C86" s="6">
        <v>14.756817515074337</v>
      </c>
      <c r="D86" s="1" t="s">
        <v>510</v>
      </c>
      <c r="E86" s="1" t="s">
        <v>511</v>
      </c>
      <c r="F86" s="1" t="str">
        <f>IF(C86&gt;0,"North",IF(C86&lt;0,"South","Equator"))</f>
        <v>North</v>
      </c>
      <c r="G86" s="7">
        <f>DEGREES(ACOS(MAX(-1,MIN(1,SIN(RADIANS(C86))*SIN(RADIANS('Sources and method'!$B$5))+COS(RADIANS(C86))*COS(RADIANS('Sources and method'!$B$5))*COS(RADIANS(B86-'Sources and method'!$B$4))))))</f>
        <v>107.78260815207965</v>
      </c>
    </row>
    <row r="87" spans="1:7" ht="15" customHeight="1" x14ac:dyDescent="0.25">
      <c r="A87" s="1" t="s">
        <v>413</v>
      </c>
      <c r="B87" s="6">
        <v>204.25239397092736</v>
      </c>
      <c r="C87" s="6">
        <v>-29.865718722852431</v>
      </c>
      <c r="D87" s="1" t="s">
        <v>414</v>
      </c>
      <c r="E87" s="1" t="s">
        <v>415</v>
      </c>
      <c r="F87" s="1" t="str">
        <f>IF(C87&gt;0,"North",IF(C87&lt;0,"South","Equator"))</f>
        <v>South</v>
      </c>
      <c r="G87" s="7">
        <f>DEGREES(ACOS(MAX(-1,MIN(1,SIN(RADIANS(C87))*SIN(RADIANS('Sources and method'!$B$5))+COS(RADIANS(C87))*COS(RADIANS('Sources and method'!$B$5))*COS(RADIANS(B87-'Sources and method'!$B$4))))))</f>
        <v>108.70383087647308</v>
      </c>
    </row>
    <row r="88" spans="1:7" ht="15" customHeight="1" x14ac:dyDescent="0.25">
      <c r="A88" s="1" t="s">
        <v>215</v>
      </c>
      <c r="B88" s="6">
        <v>145.80006382545841</v>
      </c>
      <c r="C88" s="6">
        <v>31.928738328830075</v>
      </c>
      <c r="D88" s="1" t="s">
        <v>216</v>
      </c>
      <c r="E88" s="1" t="s">
        <v>217</v>
      </c>
      <c r="F88" s="1" t="str">
        <f>IF(C88&gt;0,"North",IF(C88&lt;0,"South","Equator"))</f>
        <v>North</v>
      </c>
      <c r="G88" s="7">
        <f>DEGREES(ACOS(MAX(-1,MIN(1,SIN(RADIANS(C88))*SIN(RADIANS('Sources and method'!$B$5))+COS(RADIANS(C88))*COS(RADIANS('Sources and method'!$B$5))*COS(RADIANS(B88-'Sources and method'!$B$4))))))</f>
        <v>108.72140692367752</v>
      </c>
    </row>
    <row r="89" spans="1:7" ht="15" customHeight="1" x14ac:dyDescent="0.25">
      <c r="A89" s="1" t="s">
        <v>497</v>
      </c>
      <c r="B89" s="6">
        <v>129.42301453918196</v>
      </c>
      <c r="C89" s="6">
        <v>51.652775013101412</v>
      </c>
      <c r="D89" s="1" t="s">
        <v>498</v>
      </c>
      <c r="E89" s="1" t="s">
        <v>499</v>
      </c>
      <c r="F89" s="1" t="str">
        <f>IF(C89&gt;0,"North",IF(C89&lt;0,"South","Equator"))</f>
        <v>North</v>
      </c>
      <c r="G89" s="7">
        <f>DEGREES(ACOS(MAX(-1,MIN(1,SIN(RADIANS(C89))*SIN(RADIANS('Sources and method'!$B$5))+COS(RADIANS(C89))*COS(RADIANS('Sources and method'!$B$5))*COS(RADIANS(B89-'Sources and method'!$B$4))))))</f>
        <v>108.80687375547529</v>
      </c>
    </row>
    <row r="90" spans="1:7" ht="15" customHeight="1" x14ac:dyDescent="0.25">
      <c r="A90" s="1" t="s">
        <v>218</v>
      </c>
      <c r="B90" s="6">
        <v>154.41075000000001</v>
      </c>
      <c r="C90" s="6">
        <v>21.688300000000002</v>
      </c>
      <c r="D90" s="1" t="s">
        <v>219</v>
      </c>
      <c r="E90" s="1" t="s">
        <v>220</v>
      </c>
      <c r="F90" s="1" t="str">
        <f>IF(C90&gt;0,"North",IF(C90&lt;0,"South","Equator"))</f>
        <v>North</v>
      </c>
      <c r="G90" s="7">
        <f>DEGREES(ACOS(MAX(-1,MIN(1,SIN(RADIANS(C90))*SIN(RADIANS('Sources and method'!$B$5))+COS(RADIANS(C90))*COS(RADIANS('Sources and method'!$B$5))*COS(RADIANS(B90-'Sources and method'!$B$4))))))</f>
        <v>110.06267145042476</v>
      </c>
    </row>
    <row r="91" spans="1:7" ht="15" customHeight="1" x14ac:dyDescent="0.25">
      <c r="A91" s="1" t="s">
        <v>221</v>
      </c>
      <c r="B91" s="6">
        <v>155.87741456245303</v>
      </c>
      <c r="C91" s="6">
        <v>19.86513583730914</v>
      </c>
      <c r="D91" s="1" t="s">
        <v>222</v>
      </c>
      <c r="E91" s="1" t="s">
        <v>223</v>
      </c>
      <c r="F91" s="1" t="str">
        <f>IF(C91&gt;0,"North",IF(C91&lt;0,"South","Equator"))</f>
        <v>North</v>
      </c>
      <c r="G91" s="7">
        <f>DEGREES(ACOS(MAX(-1,MIN(1,SIN(RADIANS(C91))*SIN(RADIANS('Sources and method'!$B$5))+COS(RADIANS(C91))*COS(RADIANS('Sources and method'!$B$5))*COS(RADIANS(B91-'Sources and method'!$B$4))))))</f>
        <v>110.28179659359913</v>
      </c>
    </row>
    <row r="92" spans="1:7" ht="15" customHeight="1" x14ac:dyDescent="0.25">
      <c r="A92" s="1" t="s">
        <v>209</v>
      </c>
      <c r="B92" s="6">
        <v>133.38639332008091</v>
      </c>
      <c r="C92" s="6">
        <v>51.313589618332117</v>
      </c>
      <c r="D92" s="1" t="s">
        <v>210</v>
      </c>
      <c r="E92" s="1" t="s">
        <v>211</v>
      </c>
      <c r="F92" s="1" t="str">
        <f>IF(C92&gt;0,"North",IF(C92&lt;0,"South","Equator"))</f>
        <v>North</v>
      </c>
      <c r="G92" s="7">
        <f>DEGREES(ACOS(MAX(-1,MIN(1,SIN(RADIANS(C92))*SIN(RADIANS('Sources and method'!$B$5))+COS(RADIANS(C92))*COS(RADIANS('Sources and method'!$B$5))*COS(RADIANS(B92-'Sources and method'!$B$4))))))</f>
        <v>110.70363499223603</v>
      </c>
    </row>
    <row r="93" spans="1:7" ht="15" customHeight="1" x14ac:dyDescent="0.25">
      <c r="A93" s="1" t="s">
        <v>512</v>
      </c>
      <c r="B93" s="6">
        <v>160.70180366122767</v>
      </c>
      <c r="C93" s="6">
        <v>13.459813339111694</v>
      </c>
      <c r="D93" s="1" t="s">
        <v>513</v>
      </c>
      <c r="E93" s="1" t="s">
        <v>514</v>
      </c>
      <c r="F93" s="1" t="str">
        <f>IF(C93&gt;0,"North",IF(C93&lt;0,"South","Equator"))</f>
        <v>North</v>
      </c>
      <c r="G93" s="7">
        <f>DEGREES(ACOS(MAX(-1,MIN(1,SIN(RADIANS(C93))*SIN(RADIANS('Sources and method'!$B$5))+COS(RADIANS(C93))*COS(RADIANS('Sources and method'!$B$5))*COS(RADIANS(B93-'Sources and method'!$B$4))))))</f>
        <v>110.75947386050369</v>
      </c>
    </row>
    <row r="94" spans="1:7" ht="15" customHeight="1" x14ac:dyDescent="0.25">
      <c r="A94" s="1" t="s">
        <v>476</v>
      </c>
      <c r="B94" s="6">
        <v>173.43872141932565</v>
      </c>
      <c r="C94" s="6">
        <v>-3.4367749989023784</v>
      </c>
      <c r="D94" s="1" t="s">
        <v>477</v>
      </c>
      <c r="E94" s="1" t="s">
        <v>478</v>
      </c>
      <c r="F94" s="1" t="str">
        <f>IF(C94&gt;0,"North",IF(C94&lt;0,"South","Equator"))</f>
        <v>South</v>
      </c>
      <c r="G94" s="7">
        <f>DEGREES(ACOS(MAX(-1,MIN(1,SIN(RADIANS(C94))*SIN(RADIANS('Sources and method'!$B$5))+COS(RADIANS(C94))*COS(RADIANS('Sources and method'!$B$5))*COS(RADIANS(B94-'Sources and method'!$B$4))))))</f>
        <v>110.92750319391882</v>
      </c>
    </row>
    <row r="95" spans="1:7" ht="15" customHeight="1" x14ac:dyDescent="0.25">
      <c r="A95" s="1" t="s">
        <v>404</v>
      </c>
      <c r="B95" s="6">
        <v>198.8792001541531</v>
      </c>
      <c r="C95" s="6">
        <v>-23.983883290100632</v>
      </c>
      <c r="D95" s="1" t="s">
        <v>405</v>
      </c>
      <c r="E95" s="1" t="s">
        <v>406</v>
      </c>
      <c r="F95" s="1" t="str">
        <f>IF(C95&gt;0,"North",IF(C95&lt;0,"South","Equator"))</f>
        <v>South</v>
      </c>
      <c r="G95" s="7">
        <f>DEGREES(ACOS(MAX(-1,MIN(1,SIN(RADIANS(C95))*SIN(RADIANS('Sources and method'!$B$5))+COS(RADIANS(C95))*COS(RADIANS('Sources and method'!$B$5))*COS(RADIANS(B95-'Sources and method'!$B$4))))))</f>
        <v>111.61329047083794</v>
      </c>
    </row>
    <row r="96" spans="1:7" ht="15" customHeight="1" x14ac:dyDescent="0.25">
      <c r="A96" s="1" t="s">
        <v>506</v>
      </c>
      <c r="B96" s="6">
        <v>150.42567223929169</v>
      </c>
      <c r="C96" s="6">
        <v>33.13613333227422</v>
      </c>
      <c r="D96" s="1" t="s">
        <v>507</v>
      </c>
      <c r="E96" s="1" t="s">
        <v>508</v>
      </c>
      <c r="F96" s="1" t="str">
        <f>IF(C96&gt;0,"North",IF(C96&lt;0,"South","Equator"))</f>
        <v>North</v>
      </c>
      <c r="G96" s="7">
        <f>DEGREES(ACOS(MAX(-1,MIN(1,SIN(RADIANS(C96))*SIN(RADIANS('Sources and method'!$B$5))+COS(RADIANS(C96))*COS(RADIANS('Sources and method'!$B$5))*COS(RADIANS(B96-'Sources and method'!$B$4))))))</f>
        <v>112.70797859203587</v>
      </c>
    </row>
    <row r="97" spans="1:7" ht="15" customHeight="1" x14ac:dyDescent="0.25">
      <c r="A97" s="1" t="s">
        <v>227</v>
      </c>
      <c r="B97" s="6">
        <v>158.69709862166962</v>
      </c>
      <c r="C97" s="6">
        <v>21.648107925224199</v>
      </c>
      <c r="D97" s="1" t="s">
        <v>228</v>
      </c>
      <c r="E97" s="1" t="s">
        <v>229</v>
      </c>
      <c r="F97" s="1" t="str">
        <f>IF(C97&gt;0,"North",IF(C97&lt;0,"South","Equator"))</f>
        <v>North</v>
      </c>
      <c r="G97" s="7">
        <f>DEGREES(ACOS(MAX(-1,MIN(1,SIN(RADIANS(C97))*SIN(RADIANS('Sources and method'!$B$5))+COS(RADIANS(C97))*COS(RADIANS('Sources and method'!$B$5))*COS(RADIANS(B97-'Sources and method'!$B$4))))))</f>
        <v>113.46021839198184</v>
      </c>
    </row>
    <row r="98" spans="1:7" ht="15" customHeight="1" x14ac:dyDescent="0.25">
      <c r="A98" s="1" t="s">
        <v>407</v>
      </c>
      <c r="B98" s="6">
        <v>199.72808028495911</v>
      </c>
      <c r="C98" s="6">
        <v>-21.038743801448796</v>
      </c>
      <c r="D98" s="1" t="s">
        <v>408</v>
      </c>
      <c r="E98" s="1" t="s">
        <v>409</v>
      </c>
      <c r="F98" s="1" t="str">
        <f>IF(C98&gt;0,"North",IF(C98&lt;0,"South","Equator"))</f>
        <v>South</v>
      </c>
      <c r="G98" s="7">
        <f>DEGREES(ACOS(MAX(-1,MIN(1,SIN(RADIANS(C98))*SIN(RADIANS('Sources and method'!$B$5))+COS(RADIANS(C98))*COS(RADIANS('Sources and method'!$B$5))*COS(RADIANS(B98-'Sources and method'!$B$4))))))</f>
        <v>114.54463317147842</v>
      </c>
    </row>
    <row r="99" spans="1:7" ht="15" customHeight="1" x14ac:dyDescent="0.25">
      <c r="A99" s="1" t="s">
        <v>242</v>
      </c>
      <c r="B99" s="6">
        <v>163.3500565762632</v>
      </c>
      <c r="C99" s="6">
        <v>16.772519168900356</v>
      </c>
      <c r="D99" s="1" t="s">
        <v>243</v>
      </c>
      <c r="E99" s="1" t="s">
        <v>244</v>
      </c>
      <c r="F99" s="1" t="str">
        <f>IF(C99&gt;0,"North",IF(C99&lt;0,"South","Equator"))</f>
        <v>North</v>
      </c>
      <c r="G99" s="7">
        <f>DEGREES(ACOS(MAX(-1,MIN(1,SIN(RADIANS(C99))*SIN(RADIANS('Sources and method'!$B$5))+COS(RADIANS(C99))*COS(RADIANS('Sources and method'!$B$5))*COS(RADIANS(B99-'Sources and method'!$B$4))))))</f>
        <v>114.69641835556672</v>
      </c>
    </row>
    <row r="100" spans="1:7" ht="15" customHeight="1" x14ac:dyDescent="0.25">
      <c r="A100" s="1" t="s">
        <v>245</v>
      </c>
      <c r="B100" s="6">
        <v>165.00989569131553</v>
      </c>
      <c r="C100" s="6">
        <v>14.84171333796521</v>
      </c>
      <c r="D100" s="1" t="s">
        <v>246</v>
      </c>
      <c r="E100" s="1" t="s">
        <v>247</v>
      </c>
      <c r="F100" s="1" t="str">
        <f>IF(C100&gt;0,"North",IF(C100&lt;0,"South","Equator"))</f>
        <v>North</v>
      </c>
      <c r="G100" s="7">
        <f>DEGREES(ACOS(MAX(-1,MIN(1,SIN(RADIANS(C100))*SIN(RADIANS('Sources and method'!$B$5))+COS(RADIANS(C100))*COS(RADIANS('Sources and method'!$B$5))*COS(RADIANS(B100-'Sources and method'!$B$4))))))</f>
        <v>115.01784497960921</v>
      </c>
    </row>
    <row r="101" spans="1:7" ht="15" customHeight="1" x14ac:dyDescent="0.25">
      <c r="A101" s="1" t="s">
        <v>410</v>
      </c>
      <c r="B101" s="6">
        <v>201.32725643016221</v>
      </c>
      <c r="C101" s="6">
        <v>-21.134195374298596</v>
      </c>
      <c r="D101" s="1" t="s">
        <v>411</v>
      </c>
      <c r="E101" s="1" t="s">
        <v>412</v>
      </c>
      <c r="F101" s="1" t="str">
        <f>IF(C101&gt;0,"North",IF(C101&lt;0,"South","Equator"))</f>
        <v>South</v>
      </c>
      <c r="G101" s="7">
        <f>DEGREES(ACOS(MAX(-1,MIN(1,SIN(RADIANS(C101))*SIN(RADIANS('Sources and method'!$B$5))+COS(RADIANS(C101))*COS(RADIANS('Sources and method'!$B$5))*COS(RADIANS(B101-'Sources and method'!$B$4))))))</f>
        <v>115.21316721249906</v>
      </c>
    </row>
    <row r="102" spans="1:7" ht="15" customHeight="1" x14ac:dyDescent="0.25">
      <c r="A102" s="1" t="s">
        <v>233</v>
      </c>
      <c r="B102" s="6">
        <v>160.87971500080158</v>
      </c>
      <c r="C102" s="6">
        <v>24.922404592600532</v>
      </c>
      <c r="D102" s="1" t="s">
        <v>234</v>
      </c>
      <c r="E102" s="1" t="s">
        <v>235</v>
      </c>
      <c r="F102" s="1" t="str">
        <f>IF(C102&gt;0,"North",IF(C102&lt;0,"South","Equator"))</f>
        <v>North</v>
      </c>
      <c r="G102" s="7">
        <f>DEGREES(ACOS(MAX(-1,MIN(1,SIN(RADIANS(C102))*SIN(RADIANS('Sources and method'!$B$5))+COS(RADIANS(C102))*COS(RADIANS('Sources and method'!$B$5))*COS(RADIANS(B102-'Sources and method'!$B$4))))))</f>
        <v>116.82320242267417</v>
      </c>
    </row>
    <row r="103" spans="1:7" ht="15" customHeight="1" x14ac:dyDescent="0.25">
      <c r="A103" s="1" t="s">
        <v>344</v>
      </c>
      <c r="B103" s="6">
        <v>187.76863526981018</v>
      </c>
      <c r="C103" s="6">
        <v>-8.054029577361808</v>
      </c>
      <c r="D103" s="1" t="s">
        <v>345</v>
      </c>
      <c r="E103" s="1" t="s">
        <v>346</v>
      </c>
      <c r="F103" s="1" t="str">
        <f>IF(C103&gt;0,"North",IF(C103&lt;0,"South","Equator"))</f>
        <v>South</v>
      </c>
      <c r="G103" s="7">
        <f>DEGREES(ACOS(MAX(-1,MIN(1,SIN(RADIANS(C103))*SIN(RADIANS('Sources and method'!$B$5))+COS(RADIANS(C103))*COS(RADIANS('Sources and method'!$B$5))*COS(RADIANS(B103-'Sources and method'!$B$4))))))</f>
        <v>118.05635563273364</v>
      </c>
    </row>
    <row r="104" spans="1:7" ht="15" customHeight="1" x14ac:dyDescent="0.25">
      <c r="A104" s="1" t="s">
        <v>254</v>
      </c>
      <c r="B104" s="6">
        <v>170.06251610906705</v>
      </c>
      <c r="C104" s="6">
        <v>12.991500003857922</v>
      </c>
      <c r="D104" s="1" t="s">
        <v>255</v>
      </c>
      <c r="E104" s="1" t="s">
        <v>256</v>
      </c>
      <c r="F104" s="1" t="str">
        <f>IF(C104&gt;0,"North",IF(C104&lt;0,"South","Equator"))</f>
        <v>North</v>
      </c>
      <c r="G104" s="7">
        <f>DEGREES(ACOS(MAX(-1,MIN(1,SIN(RADIANS(C104))*SIN(RADIANS('Sources and method'!$B$5))+COS(RADIANS(C104))*COS(RADIANS('Sources and method'!$B$5))*COS(RADIANS(B104-'Sources and method'!$B$4))))))</f>
        <v>118.12381675699747</v>
      </c>
    </row>
    <row r="105" spans="1:7" ht="15" customHeight="1" x14ac:dyDescent="0.25">
      <c r="A105" s="1" t="s">
        <v>503</v>
      </c>
      <c r="B105" s="6">
        <v>149.72248761533629</v>
      </c>
      <c r="C105" s="6">
        <v>47.736935423645065</v>
      </c>
      <c r="D105" s="1" t="s">
        <v>504</v>
      </c>
      <c r="E105" s="1" t="s">
        <v>505</v>
      </c>
      <c r="F105" s="1" t="str">
        <f>IF(C105&gt;0,"North",IF(C105&lt;0,"South","Equator"))</f>
        <v>North</v>
      </c>
      <c r="G105" s="7">
        <f>DEGREES(ACOS(MAX(-1,MIN(1,SIN(RADIANS(C105))*SIN(RADIANS('Sources and method'!$B$5))+COS(RADIANS(C105))*COS(RADIANS('Sources and method'!$B$5))*COS(RADIANS(B105-'Sources and method'!$B$4))))))</f>
        <v>118.55182814082372</v>
      </c>
    </row>
    <row r="106" spans="1:7" ht="15" customHeight="1" x14ac:dyDescent="0.25">
      <c r="A106" s="1" t="s">
        <v>239</v>
      </c>
      <c r="B106" s="6">
        <v>162.05075219764615</v>
      </c>
      <c r="C106" s="6">
        <v>28.601920003941053</v>
      </c>
      <c r="D106" s="1" t="s">
        <v>240</v>
      </c>
      <c r="E106" s="1" t="s">
        <v>241</v>
      </c>
      <c r="F106" s="1" t="str">
        <f>IF(C106&gt;0,"North",IF(C106&lt;0,"South","Equator"))</f>
        <v>North</v>
      </c>
      <c r="G106" s="7">
        <f>DEGREES(ACOS(MAX(-1,MIN(1,SIN(RADIANS(C106))*SIN(RADIANS('Sources and method'!$B$5))+COS(RADIANS(C106))*COS(RADIANS('Sources and method'!$B$5))*COS(RADIANS(B106-'Sources and method'!$B$4))))))</f>
        <v>119.46470164060781</v>
      </c>
    </row>
    <row r="107" spans="1:7" ht="15" customHeight="1" x14ac:dyDescent="0.25">
      <c r="A107" s="1" t="s">
        <v>395</v>
      </c>
      <c r="B107" s="6">
        <v>193.59916504146705</v>
      </c>
      <c r="C107" s="6">
        <v>-10.537115893618248</v>
      </c>
      <c r="D107" s="1" t="s">
        <v>396</v>
      </c>
      <c r="E107" s="1" t="s">
        <v>397</v>
      </c>
      <c r="F107" s="1" t="str">
        <f>IF(C107&gt;0,"North",IF(C107&lt;0,"South","Equator"))</f>
        <v>South</v>
      </c>
      <c r="G107" s="7">
        <f>DEGREES(ACOS(MAX(-1,MIN(1,SIN(RADIANS(C107))*SIN(RADIANS('Sources and method'!$B$5))+COS(RADIANS(C107))*COS(RADIANS('Sources and method'!$B$5))*COS(RADIANS(B107-'Sources and method'!$B$4))))))</f>
        <v>119.87842978237599</v>
      </c>
    </row>
    <row r="108" spans="1:7" ht="15" customHeight="1" x14ac:dyDescent="0.25">
      <c r="A108" s="1" t="s">
        <v>293</v>
      </c>
      <c r="B108" s="6">
        <v>181.90239311241555</v>
      </c>
      <c r="C108" s="6">
        <v>2.6934147398682673</v>
      </c>
      <c r="D108" s="1" t="s">
        <v>294</v>
      </c>
      <c r="E108" s="1" t="s">
        <v>295</v>
      </c>
      <c r="F108" s="1" t="str">
        <f>IF(C108&gt;0,"North",IF(C108&lt;0,"South","Equator"))</f>
        <v>North</v>
      </c>
      <c r="G108" s="7">
        <f>DEGREES(ACOS(MAX(-1,MIN(1,SIN(RADIANS(C108))*SIN(RADIANS('Sources and method'!$B$5))+COS(RADIANS(C108))*COS(RADIANS('Sources and method'!$B$5))*COS(RADIANS(B108-'Sources and method'!$B$4))))))</f>
        <v>121.34195151340933</v>
      </c>
    </row>
    <row r="109" spans="1:7" ht="15" customHeight="1" x14ac:dyDescent="0.25">
      <c r="A109" s="1" t="s">
        <v>260</v>
      </c>
      <c r="B109" s="6">
        <v>171.62417147696453</v>
      </c>
      <c r="C109" s="6">
        <v>16.863422977192911</v>
      </c>
      <c r="D109" s="1" t="s">
        <v>261</v>
      </c>
      <c r="E109" s="1" t="s">
        <v>262</v>
      </c>
      <c r="F109" s="1" t="str">
        <f>IF(C109&gt;0,"North",IF(C109&lt;0,"South","Equator"))</f>
        <v>North</v>
      </c>
      <c r="G109" s="7">
        <f>DEGREES(ACOS(MAX(-1,MIN(1,SIN(RADIANS(C109))*SIN(RADIANS('Sources and method'!$B$5))+COS(RADIANS(C109))*COS(RADIANS('Sources and method'!$B$5))*COS(RADIANS(B109-'Sources and method'!$B$4))))))</f>
        <v>121.48090217156984</v>
      </c>
    </row>
    <row r="110" spans="1:7" ht="15" customHeight="1" x14ac:dyDescent="0.25">
      <c r="A110" s="1" t="s">
        <v>296</v>
      </c>
      <c r="B110" s="6">
        <v>182.04630208794268</v>
      </c>
      <c r="C110" s="6">
        <v>2.8783329121862495</v>
      </c>
      <c r="D110" s="1" t="s">
        <v>297</v>
      </c>
      <c r="E110" s="1" t="s">
        <v>298</v>
      </c>
      <c r="F110" s="1" t="str">
        <f>IF(C110&gt;0,"North",IF(C110&lt;0,"South","Equator"))</f>
        <v>North</v>
      </c>
      <c r="G110" s="7">
        <f>DEGREES(ACOS(MAX(-1,MIN(1,SIN(RADIANS(C110))*SIN(RADIANS('Sources and method'!$B$5))+COS(RADIANS(C110))*COS(RADIANS('Sources and method'!$B$5))*COS(RADIANS(B110-'Sources and method'!$B$4))))))</f>
        <v>121.57143995694986</v>
      </c>
    </row>
    <row r="111" spans="1:7" ht="15" customHeight="1" x14ac:dyDescent="0.25">
      <c r="A111" s="1" t="s">
        <v>263</v>
      </c>
      <c r="B111" s="6">
        <v>171.79665034403291</v>
      </c>
      <c r="C111" s="6">
        <v>17.030226661113485</v>
      </c>
      <c r="D111" s="1" t="s">
        <v>264</v>
      </c>
      <c r="E111" s="1" t="s">
        <v>265</v>
      </c>
      <c r="F111" s="1" t="str">
        <f>IF(C111&gt;0,"North",IF(C111&lt;0,"South","Equator"))</f>
        <v>North</v>
      </c>
      <c r="G111" s="7">
        <f>DEGREES(ACOS(MAX(-1,MIN(1,SIN(RADIANS(C111))*SIN(RADIANS('Sources and method'!$B$5))+COS(RADIANS(C111))*COS(RADIANS('Sources and method'!$B$5))*COS(RADIANS(B111-'Sources and method'!$B$4))))))</f>
        <v>121.70885891445542</v>
      </c>
    </row>
    <row r="112" spans="1:7" ht="15" customHeight="1" x14ac:dyDescent="0.25">
      <c r="A112" s="1" t="s">
        <v>248</v>
      </c>
      <c r="B112" s="6">
        <v>165.09950947349091</v>
      </c>
      <c r="C112" s="6">
        <v>28.975060003445616</v>
      </c>
      <c r="D112" s="1" t="s">
        <v>249</v>
      </c>
      <c r="E112" s="1" t="s">
        <v>250</v>
      </c>
      <c r="F112" s="1" t="str">
        <f>IF(C112&gt;0,"North",IF(C112&lt;0,"South","Equator"))</f>
        <v>North</v>
      </c>
      <c r="G112" s="7">
        <f>DEGREES(ACOS(MAX(-1,MIN(1,SIN(RADIANS(C112))*SIN(RADIANS('Sources and method'!$B$5))+COS(RADIANS(C112))*COS(RADIANS('Sources and method'!$B$5))*COS(RADIANS(B112-'Sources and method'!$B$4))))))</f>
        <v>122.02524160588985</v>
      </c>
    </row>
    <row r="113" spans="1:7" ht="15" customHeight="1" x14ac:dyDescent="0.25">
      <c r="A113" s="1" t="s">
        <v>251</v>
      </c>
      <c r="B113" s="6">
        <v>165.79680294443975</v>
      </c>
      <c r="C113" s="6">
        <v>27.972668358776275</v>
      </c>
      <c r="D113" s="1" t="s">
        <v>252</v>
      </c>
      <c r="E113" s="1" t="s">
        <v>253</v>
      </c>
      <c r="F113" s="1" t="str">
        <f>IF(C113&gt;0,"North",IF(C113&lt;0,"South","Equator"))</f>
        <v>North</v>
      </c>
      <c r="G113" s="7">
        <f>DEGREES(ACOS(MAX(-1,MIN(1,SIN(RADIANS(C113))*SIN(RADIANS('Sources and method'!$B$5))+COS(RADIANS(C113))*COS(RADIANS('Sources and method'!$B$5))*COS(RADIANS(B113-'Sources and method'!$B$4))))))</f>
        <v>122.13620921115576</v>
      </c>
    </row>
    <row r="114" spans="1:7" ht="15" customHeight="1" x14ac:dyDescent="0.25">
      <c r="A114" s="1" t="s">
        <v>230</v>
      </c>
      <c r="B114" s="6">
        <v>159.78930429757065</v>
      </c>
      <c r="C114" s="6">
        <v>41.686813333463618</v>
      </c>
      <c r="D114" s="1" t="s">
        <v>231</v>
      </c>
      <c r="E114" s="1" t="s">
        <v>232</v>
      </c>
      <c r="F114" s="1" t="str">
        <f>IF(C114&gt;0,"North",IF(C114&lt;0,"South","Equator"))</f>
        <v>North</v>
      </c>
      <c r="G114" s="7">
        <f>DEGREES(ACOS(MAX(-1,MIN(1,SIN(RADIANS(C114))*SIN(RADIANS('Sources and method'!$B$5))+COS(RADIANS(C114))*COS(RADIANS('Sources and method'!$B$5))*COS(RADIANS(B114-'Sources and method'!$B$4))))))</f>
        <v>123.01859418022353</v>
      </c>
    </row>
    <row r="115" spans="1:7" ht="15" customHeight="1" x14ac:dyDescent="0.25">
      <c r="A115" s="1" t="s">
        <v>401</v>
      </c>
      <c r="B115" s="6">
        <v>197.20315067151796</v>
      </c>
      <c r="C115" s="6">
        <v>-6.7775382956990144</v>
      </c>
      <c r="D115" s="1" t="s">
        <v>402</v>
      </c>
      <c r="E115" s="1" t="s">
        <v>403</v>
      </c>
      <c r="F115" s="1" t="str">
        <f>IF(C115&gt;0,"North",IF(C115&lt;0,"South","Equator"))</f>
        <v>South</v>
      </c>
      <c r="G115" s="7">
        <f>DEGREES(ACOS(MAX(-1,MIN(1,SIN(RADIANS(C115))*SIN(RADIANS('Sources and method'!$B$5))+COS(RADIANS(C115))*COS(RADIANS('Sources and method'!$B$5))*COS(RADIANS(B115-'Sources and method'!$B$4))))))</f>
        <v>125.03073947432253</v>
      </c>
    </row>
    <row r="116" spans="1:7" ht="15" customHeight="1" x14ac:dyDescent="0.25">
      <c r="A116" s="1" t="s">
        <v>317</v>
      </c>
      <c r="B116" s="6">
        <v>185.5420218645381</v>
      </c>
      <c r="C116" s="6">
        <v>4.4724597515473912</v>
      </c>
      <c r="D116" s="1" t="s">
        <v>318</v>
      </c>
      <c r="E116" s="1" t="s">
        <v>319</v>
      </c>
      <c r="F116" s="1" t="str">
        <f>IF(C116&gt;0,"North",IF(C116&lt;0,"South","Equator"))</f>
        <v>North</v>
      </c>
      <c r="G116" s="7">
        <f>DEGREES(ACOS(MAX(-1,MIN(1,SIN(RADIANS(C116))*SIN(RADIANS('Sources and method'!$B$5))+COS(RADIANS(C116))*COS(RADIANS('Sources and method'!$B$5))*COS(RADIANS(B116-'Sources and method'!$B$4))))))</f>
        <v>125.25307685600494</v>
      </c>
    </row>
    <row r="117" spans="1:7" ht="15" customHeight="1" x14ac:dyDescent="0.25">
      <c r="A117" s="1" t="s">
        <v>533</v>
      </c>
      <c r="B117" s="6">
        <v>187.25944005273573</v>
      </c>
      <c r="C117" s="6">
        <v>2.7218147579516043</v>
      </c>
      <c r="D117" s="1" t="s">
        <v>534</v>
      </c>
      <c r="E117" s="1" t="s">
        <v>535</v>
      </c>
      <c r="F117" s="1" t="str">
        <f>IF(C117&gt;0,"North",IF(C117&lt;0,"South","Equator"))</f>
        <v>North</v>
      </c>
      <c r="G117" s="7">
        <f>DEGREES(ACOS(MAX(-1,MIN(1,SIN(RADIANS(C117))*SIN(RADIANS('Sources and method'!$B$5))+COS(RADIANS(C117))*COS(RADIANS('Sources and method'!$B$5))*COS(RADIANS(B117-'Sources and method'!$B$4))))))</f>
        <v>125.36008778510063</v>
      </c>
    </row>
    <row r="118" spans="1:7" ht="15" customHeight="1" x14ac:dyDescent="0.25">
      <c r="A118" s="1" t="s">
        <v>88</v>
      </c>
      <c r="B118" s="6">
        <v>184.49958458587369</v>
      </c>
      <c r="C118" s="6">
        <v>6.6542401262775037</v>
      </c>
      <c r="D118" s="1" t="s">
        <v>89</v>
      </c>
      <c r="E118" s="1" t="s">
        <v>90</v>
      </c>
      <c r="F118" s="1" t="str">
        <f>IF(C118&gt;0,"North",IF(C118&lt;0,"South","Equator"))</f>
        <v>North</v>
      </c>
      <c r="G118" s="7">
        <f>DEGREES(ACOS(MAX(-1,MIN(1,SIN(RADIANS(C118))*SIN(RADIANS('Sources and method'!$B$5))+COS(RADIANS(C118))*COS(RADIANS('Sources and method'!$B$5))*COS(RADIANS(B118-'Sources and method'!$B$4))))))</f>
        <v>125.87291634901317</v>
      </c>
    </row>
    <row r="119" spans="1:7" ht="15" customHeight="1" x14ac:dyDescent="0.25">
      <c r="A119" s="1" t="s">
        <v>341</v>
      </c>
      <c r="B119" s="6">
        <v>187.24592713720355</v>
      </c>
      <c r="C119" s="6">
        <v>3.5706195841479254</v>
      </c>
      <c r="D119" s="1" t="s">
        <v>342</v>
      </c>
      <c r="E119" s="1" t="s">
        <v>343</v>
      </c>
      <c r="F119" s="1" t="str">
        <f>IF(C119&gt;0,"North",IF(C119&lt;0,"South","Equator"))</f>
        <v>North</v>
      </c>
      <c r="G119" s="7">
        <f>DEGREES(ACOS(MAX(-1,MIN(1,SIN(RADIANS(C119))*SIN(RADIANS('Sources and method'!$B$5))+COS(RADIANS(C119))*COS(RADIANS('Sources and method'!$B$5))*COS(RADIANS(B119-'Sources and method'!$B$4))))))</f>
        <v>125.92338187792092</v>
      </c>
    </row>
    <row r="120" spans="1:7" ht="15" customHeight="1" x14ac:dyDescent="0.25">
      <c r="A120" s="1" t="s">
        <v>224</v>
      </c>
      <c r="B120" s="6">
        <v>158.08155892166644</v>
      </c>
      <c r="C120" s="6">
        <v>56.084162080213119</v>
      </c>
      <c r="D120" s="1" t="s">
        <v>225</v>
      </c>
      <c r="E120" s="1" t="s">
        <v>226</v>
      </c>
      <c r="F120" s="1" t="str">
        <f>IF(C120&gt;0,"North",IF(C120&lt;0,"South","Equator"))</f>
        <v>North</v>
      </c>
      <c r="G120" s="7">
        <f>DEGREES(ACOS(MAX(-1,MIN(1,SIN(RADIANS(C120))*SIN(RADIANS('Sources and method'!$B$5))+COS(RADIANS(C120))*COS(RADIANS('Sources and method'!$B$5))*COS(RADIANS(B120-'Sources and method'!$B$4))))))</f>
        <v>125.95313086715053</v>
      </c>
    </row>
    <row r="121" spans="1:7" ht="15" customHeight="1" x14ac:dyDescent="0.25">
      <c r="A121" s="1" t="s">
        <v>383</v>
      </c>
      <c r="B121" s="6">
        <v>191.38333542259315</v>
      </c>
      <c r="C121" s="6">
        <v>-0.53573416904076798</v>
      </c>
      <c r="D121" s="1" t="s">
        <v>384</v>
      </c>
      <c r="E121" s="1" t="s">
        <v>385</v>
      </c>
      <c r="F121" s="1" t="str">
        <f>IF(C121&gt;0,"North",IF(C121&lt;0,"South","Equator"))</f>
        <v>South</v>
      </c>
      <c r="G121" s="7">
        <f>DEGREES(ACOS(MAX(-1,MIN(1,SIN(RADIANS(C121))*SIN(RADIANS('Sources and method'!$B$5))+COS(RADIANS(C121))*COS(RADIANS('Sources and method'!$B$5))*COS(RADIANS(B121-'Sources and method'!$B$4))))))</f>
        <v>126.01597913458917</v>
      </c>
    </row>
    <row r="122" spans="1:7" ht="15" customHeight="1" x14ac:dyDescent="0.25">
      <c r="A122" s="1" t="s">
        <v>536</v>
      </c>
      <c r="B122" s="6">
        <v>191.12000625669009</v>
      </c>
      <c r="C122" s="6">
        <v>0.46791291890372194</v>
      </c>
      <c r="D122" s="1" t="s">
        <v>537</v>
      </c>
      <c r="E122" s="1" t="s">
        <v>538</v>
      </c>
      <c r="F122" s="1" t="str">
        <f>IF(C122&gt;0,"North",IF(C122&lt;0,"South","Equator"))</f>
        <v>North</v>
      </c>
      <c r="G122" s="7">
        <f>DEGREES(ACOS(MAX(-1,MIN(1,SIN(RADIANS(C122))*SIN(RADIANS('Sources and method'!$B$5))+COS(RADIANS(C122))*COS(RADIANS('Sources and method'!$B$5))*COS(RADIANS(B122-'Sources and method'!$B$4))))))</f>
        <v>126.55583585936412</v>
      </c>
    </row>
    <row r="123" spans="1:7" ht="15" customHeight="1" x14ac:dyDescent="0.25">
      <c r="A123" s="1" t="s">
        <v>482</v>
      </c>
      <c r="B123" s="6">
        <v>204.54317324588183</v>
      </c>
      <c r="C123" s="6">
        <v>-9.8023691275942735</v>
      </c>
      <c r="D123" s="1" t="s">
        <v>483</v>
      </c>
      <c r="E123" s="1" t="s">
        <v>484</v>
      </c>
      <c r="F123" s="1" t="str">
        <f>IF(C123&gt;0,"North",IF(C123&lt;0,"South","Equator"))</f>
        <v>South</v>
      </c>
      <c r="G123" s="7">
        <f>DEGREES(ACOS(MAX(-1,MIN(1,SIN(RADIANS(C123))*SIN(RADIANS('Sources and method'!$B$5))+COS(RADIANS(C123))*COS(RADIANS('Sources and method'!$B$5))*COS(RADIANS(B123-'Sources and method'!$B$4))))))</f>
        <v>126.57573010831669</v>
      </c>
    </row>
    <row r="124" spans="1:7" ht="15" customHeight="1" x14ac:dyDescent="0.25">
      <c r="A124" s="1" t="s">
        <v>347</v>
      </c>
      <c r="B124" s="6">
        <v>187.91357333252796</v>
      </c>
      <c r="C124" s="6">
        <v>3.9396229181044773</v>
      </c>
      <c r="D124" s="1" t="s">
        <v>348</v>
      </c>
      <c r="E124" s="1" t="s">
        <v>349</v>
      </c>
      <c r="F124" s="1" t="str">
        <f>IF(C124&gt;0,"North",IF(C124&lt;0,"South","Equator"))</f>
        <v>North</v>
      </c>
      <c r="G124" s="7">
        <f>DEGREES(ACOS(MAX(-1,MIN(1,SIN(RADIANS(C124))*SIN(RADIANS('Sources and method'!$B$5))+COS(RADIANS(C124))*COS(RADIANS('Sources and method'!$B$5))*COS(RADIANS(B124-'Sources and method'!$B$4))))))</f>
        <v>126.66448864456851</v>
      </c>
    </row>
    <row r="125" spans="1:7" ht="15" customHeight="1" x14ac:dyDescent="0.25">
      <c r="A125" s="1" t="s">
        <v>236</v>
      </c>
      <c r="B125" s="6">
        <v>161.65185885756932</v>
      </c>
      <c r="C125" s="6">
        <v>63.221593155351741</v>
      </c>
      <c r="D125" s="1" t="s">
        <v>237</v>
      </c>
      <c r="E125" s="1" t="s">
        <v>238</v>
      </c>
      <c r="F125" s="1" t="str">
        <f>IF(C125&gt;0,"North",IF(C125&lt;0,"South","Equator"))</f>
        <v>North</v>
      </c>
      <c r="G125" s="7">
        <f>DEGREES(ACOS(MAX(-1,MIN(1,SIN(RADIANS(C125))*SIN(RADIANS('Sources and method'!$B$5))+COS(RADIANS(C125))*COS(RADIANS('Sources and method'!$B$5))*COS(RADIANS(B125-'Sources and method'!$B$4))))))</f>
        <v>128.70378546647473</v>
      </c>
    </row>
    <row r="126" spans="1:7" ht="15" customHeight="1" x14ac:dyDescent="0.25">
      <c r="A126" s="1" t="s">
        <v>356</v>
      </c>
      <c r="B126" s="6">
        <v>188.57973324062792</v>
      </c>
      <c r="C126" s="6">
        <v>6.4689091877814917</v>
      </c>
      <c r="D126" s="1" t="s">
        <v>357</v>
      </c>
      <c r="E126" s="1" t="s">
        <v>358</v>
      </c>
      <c r="F126" s="1" t="str">
        <f>IF(C126&gt;0,"North",IF(C126&lt;0,"South","Equator"))</f>
        <v>North</v>
      </c>
      <c r="G126" s="7">
        <f>DEGREES(ACOS(MAX(-1,MIN(1,SIN(RADIANS(C126))*SIN(RADIANS('Sources and method'!$B$5))+COS(RADIANS(C126))*COS(RADIANS('Sources and method'!$B$5))*COS(RADIANS(B126-'Sources and method'!$B$4))))))</f>
        <v>128.84384564555845</v>
      </c>
    </row>
    <row r="127" spans="1:7" ht="15" customHeight="1" x14ac:dyDescent="0.25">
      <c r="A127" s="1" t="s">
        <v>94</v>
      </c>
      <c r="B127" s="6">
        <v>188.66456943308927</v>
      </c>
      <c r="C127" s="6">
        <v>7.160117504584103</v>
      </c>
      <c r="D127" s="1" t="s">
        <v>95</v>
      </c>
      <c r="E127" s="1" t="s">
        <v>96</v>
      </c>
      <c r="F127" s="1" t="str">
        <f>IF(C127&gt;0,"North",IF(C127&lt;0,"South","Equator"))</f>
        <v>North</v>
      </c>
      <c r="G127" s="7">
        <f>DEGREES(ACOS(MAX(-1,MIN(1,SIN(RADIANS(C127))*SIN(RADIANS('Sources and method'!$B$5))+COS(RADIANS(C127))*COS(RADIANS('Sources and method'!$B$5))*COS(RADIANS(B127-'Sources and method'!$B$4))))))</f>
        <v>129.3606066980864</v>
      </c>
    </row>
    <row r="128" spans="1:7" ht="15" customHeight="1" x14ac:dyDescent="0.25">
      <c r="A128" s="1" t="s">
        <v>332</v>
      </c>
      <c r="B128" s="6">
        <v>186.79821361694394</v>
      </c>
      <c r="C128" s="6">
        <v>9.4206370783486832</v>
      </c>
      <c r="D128" s="1" t="s">
        <v>333</v>
      </c>
      <c r="E128" s="1" t="s">
        <v>334</v>
      </c>
      <c r="F128" s="1" t="str">
        <f>IF(C128&gt;0,"North",IF(C128&lt;0,"South","Equator"))</f>
        <v>North</v>
      </c>
      <c r="G128" s="7">
        <f>DEGREES(ACOS(MAX(-1,MIN(1,SIN(RADIANS(C128))*SIN(RADIANS('Sources and method'!$B$5))+COS(RADIANS(C128))*COS(RADIANS('Sources and method'!$B$5))*COS(RADIANS(B128-'Sources and method'!$B$4))))))</f>
        <v>129.38368171877536</v>
      </c>
    </row>
    <row r="129" spans="1:7" ht="15" customHeight="1" x14ac:dyDescent="0.25">
      <c r="A129" s="1" t="s">
        <v>314</v>
      </c>
      <c r="B129" s="6">
        <v>185.32431165094243</v>
      </c>
      <c r="C129" s="6">
        <v>11.510629179935931</v>
      </c>
      <c r="D129" s="1" t="s">
        <v>315</v>
      </c>
      <c r="E129" s="1" t="s">
        <v>316</v>
      </c>
      <c r="F129" s="1" t="str">
        <f>IF(C129&gt;0,"North",IF(C129&lt;0,"South","Equator"))</f>
        <v>North</v>
      </c>
      <c r="G129" s="7">
        <f>DEGREES(ACOS(MAX(-1,MIN(1,SIN(RADIANS(C129))*SIN(RADIANS('Sources and method'!$B$5))+COS(RADIANS(C129))*COS(RADIANS('Sources and method'!$B$5))*COS(RADIANS(B129-'Sources and method'!$B$4))))))</f>
        <v>129.51628025513264</v>
      </c>
    </row>
    <row r="130" spans="1:7" ht="15" customHeight="1" x14ac:dyDescent="0.25">
      <c r="A130" s="1" t="s">
        <v>287</v>
      </c>
      <c r="B130" s="6">
        <v>181.04644019110279</v>
      </c>
      <c r="C130" s="6">
        <v>18.443665006456222</v>
      </c>
      <c r="D130" s="1" t="s">
        <v>288</v>
      </c>
      <c r="E130" s="1" t="s">
        <v>289</v>
      </c>
      <c r="F130" s="1" t="str">
        <f>IF(C130&gt;0,"North",IF(C130&lt;0,"South","Equator"))</f>
        <v>North</v>
      </c>
      <c r="G130" s="7">
        <f>DEGREES(ACOS(MAX(-1,MIN(1,SIN(RADIANS(C130))*SIN(RADIANS('Sources and method'!$B$5))+COS(RADIANS(C130))*COS(RADIANS('Sources and method'!$B$5))*COS(RADIANS(B130-'Sources and method'!$B$4))))))</f>
        <v>129.96715386783896</v>
      </c>
    </row>
    <row r="131" spans="1:7" ht="15" customHeight="1" x14ac:dyDescent="0.25">
      <c r="A131" s="1" t="s">
        <v>359</v>
      </c>
      <c r="B131" s="6">
        <v>188.58459105656402</v>
      </c>
      <c r="C131" s="6">
        <v>8.1979729094497031</v>
      </c>
      <c r="D131" s="1" t="s">
        <v>360</v>
      </c>
      <c r="E131" s="1" t="s">
        <v>361</v>
      </c>
      <c r="F131" s="1" t="str">
        <f>IF(C131&gt;0,"North",IF(C131&lt;0,"South","Equator"))</f>
        <v>North</v>
      </c>
      <c r="G131" s="7">
        <f>DEGREES(ACOS(MAX(-1,MIN(1,SIN(RADIANS(C131))*SIN(RADIANS('Sources and method'!$B$5))+COS(RADIANS(C131))*COS(RADIANS('Sources and method'!$B$5))*COS(RADIANS(B131-'Sources and method'!$B$4))))))</f>
        <v>129.97330134758471</v>
      </c>
    </row>
    <row r="132" spans="1:7" ht="15" customHeight="1" x14ac:dyDescent="0.25">
      <c r="A132" s="1" t="s">
        <v>91</v>
      </c>
      <c r="B132" s="6">
        <v>188.62879382762708</v>
      </c>
      <c r="C132" s="6">
        <v>9.1543021111955181</v>
      </c>
      <c r="D132" s="1" t="s">
        <v>92</v>
      </c>
      <c r="E132" s="1" t="s">
        <v>93</v>
      </c>
      <c r="F132" s="1" t="str">
        <f>IF(C132&gt;0,"North",IF(C132&lt;0,"South","Equator"))</f>
        <v>North</v>
      </c>
      <c r="G132" s="7">
        <f>DEGREES(ACOS(MAX(-1,MIN(1,SIN(RADIANS(C132))*SIN(RADIANS('Sources and method'!$B$5))+COS(RADIANS(C132))*COS(RADIANS('Sources and method'!$B$5))*COS(RADIANS(B132-'Sources and method'!$B$4))))))</f>
        <v>130.61878872325318</v>
      </c>
    </row>
    <row r="133" spans="1:7" ht="15" customHeight="1" x14ac:dyDescent="0.25">
      <c r="A133" s="1" t="s">
        <v>398</v>
      </c>
      <c r="B133" s="6">
        <v>195.16307861864735</v>
      </c>
      <c r="C133" s="6">
        <v>2.5013537598094024</v>
      </c>
      <c r="D133" s="1" t="s">
        <v>399</v>
      </c>
      <c r="E133" s="1" t="s">
        <v>400</v>
      </c>
      <c r="F133" s="1" t="str">
        <f>IF(C133&gt;0,"North",IF(C133&lt;0,"South","Equator"))</f>
        <v>North</v>
      </c>
      <c r="G133" s="7">
        <f>DEGREES(ACOS(MAX(-1,MIN(1,SIN(RADIANS(C133))*SIN(RADIANS('Sources and method'!$B$5))+COS(RADIANS(C133))*COS(RADIANS('Sources and method'!$B$5))*COS(RADIANS(B133-'Sources and method'!$B$4))))))</f>
        <v>130.81880943857539</v>
      </c>
    </row>
    <row r="134" spans="1:7" ht="15" customHeight="1" x14ac:dyDescent="0.25">
      <c r="A134" s="1" t="s">
        <v>479</v>
      </c>
      <c r="B134" s="6">
        <v>189.42219778077276</v>
      </c>
      <c r="C134" s="6">
        <v>8.559314555054554</v>
      </c>
      <c r="D134" s="1" t="s">
        <v>480</v>
      </c>
      <c r="E134" s="1" t="s">
        <v>481</v>
      </c>
      <c r="F134" s="1" t="str">
        <f>IF(C134&gt;0,"North",IF(C134&lt;0,"South","Equator"))</f>
        <v>North</v>
      </c>
      <c r="G134" s="7">
        <f>DEGREES(ACOS(MAX(-1,MIN(1,SIN(RADIANS(C134))*SIN(RADIANS('Sources and method'!$B$5))+COS(RADIANS(C134))*COS(RADIANS('Sources and method'!$B$5))*COS(RADIANS(B134-'Sources and method'!$B$4))))))</f>
        <v>130.83977554716665</v>
      </c>
    </row>
    <row r="135" spans="1:7" ht="15" customHeight="1" x14ac:dyDescent="0.25">
      <c r="A135" s="1" t="s">
        <v>392</v>
      </c>
      <c r="B135" s="6">
        <v>193.31064752242389</v>
      </c>
      <c r="C135" s="6">
        <v>4.4632833310223212</v>
      </c>
      <c r="D135" s="1" t="s">
        <v>393</v>
      </c>
      <c r="E135" s="1" t="s">
        <v>394</v>
      </c>
      <c r="F135" s="1" t="str">
        <f>IF(C135&gt;0,"North",IF(C135&lt;0,"South","Equator"))</f>
        <v>North</v>
      </c>
      <c r="G135" s="7">
        <f>DEGREES(ACOS(MAX(-1,MIN(1,SIN(RADIANS(C135))*SIN(RADIANS('Sources and method'!$B$5))+COS(RADIANS(C135))*COS(RADIANS('Sources and method'!$B$5))*COS(RADIANS(B135-'Sources and method'!$B$4))))))</f>
        <v>130.93270260557327</v>
      </c>
    </row>
    <row r="136" spans="1:7" ht="15" customHeight="1" x14ac:dyDescent="0.25">
      <c r="A136" s="1" t="s">
        <v>386</v>
      </c>
      <c r="B136" s="6">
        <v>192.49117741537134</v>
      </c>
      <c r="C136" s="6">
        <v>5.3113579146697223</v>
      </c>
      <c r="D136" s="1" t="s">
        <v>387</v>
      </c>
      <c r="E136" s="1" t="s">
        <v>388</v>
      </c>
      <c r="F136" s="1" t="str">
        <f>IF(C136&gt;0,"North",IF(C136&lt;0,"South","Equator"))</f>
        <v>North</v>
      </c>
      <c r="G136" s="7">
        <f>DEGREES(ACOS(MAX(-1,MIN(1,SIN(RADIANS(C136))*SIN(RADIANS('Sources and method'!$B$5))+COS(RADIANS(C136))*COS(RADIANS('Sources and method'!$B$5))*COS(RADIANS(B136-'Sources and method'!$B$4))))))</f>
        <v>130.9373900854614</v>
      </c>
    </row>
    <row r="137" spans="1:7" ht="15" customHeight="1" x14ac:dyDescent="0.25">
      <c r="A137" s="1" t="s">
        <v>368</v>
      </c>
      <c r="B137" s="6">
        <v>189.43138164675662</v>
      </c>
      <c r="C137" s="6">
        <v>11.818216726553223</v>
      </c>
      <c r="D137" s="1" t="s">
        <v>369</v>
      </c>
      <c r="E137" s="1" t="s">
        <v>370</v>
      </c>
      <c r="F137" s="1" t="str">
        <f>IF(C137&gt;0,"North",IF(C137&lt;0,"South","Equator"))</f>
        <v>North</v>
      </c>
      <c r="G137" s="7">
        <f>DEGREES(ACOS(MAX(-1,MIN(1,SIN(RADIANS(C137))*SIN(RADIANS('Sources and method'!$B$5))+COS(RADIANS(C137))*COS(RADIANS('Sources and method'!$B$5))*COS(RADIANS(B137-'Sources and method'!$B$4))))))</f>
        <v>132.90049264536574</v>
      </c>
    </row>
    <row r="138" spans="1:7" ht="15" customHeight="1" x14ac:dyDescent="0.25">
      <c r="A138" s="1" t="s">
        <v>329</v>
      </c>
      <c r="B138" s="6">
        <v>186.52977582408053</v>
      </c>
      <c r="C138" s="6">
        <v>16.181067919472639</v>
      </c>
      <c r="D138" s="1" t="s">
        <v>330</v>
      </c>
      <c r="E138" s="1" t="s">
        <v>331</v>
      </c>
      <c r="F138" s="1" t="str">
        <f>IF(C138&gt;0,"North",IF(C138&lt;0,"South","Equator"))</f>
        <v>North</v>
      </c>
      <c r="G138" s="7">
        <f>DEGREES(ACOS(MAX(-1,MIN(1,SIN(RADIANS(C138))*SIN(RADIANS('Sources and method'!$B$5))+COS(RADIANS(C138))*COS(RADIANS('Sources and method'!$B$5))*COS(RADIANS(B138-'Sources and method'!$B$4))))))</f>
        <v>133.17224146514886</v>
      </c>
    </row>
    <row r="139" spans="1:7" ht="15" customHeight="1" x14ac:dyDescent="0.25">
      <c r="A139" s="1" t="s">
        <v>305</v>
      </c>
      <c r="B139" s="6">
        <v>183.81024268777935</v>
      </c>
      <c r="C139" s="6">
        <v>20.658799597907805</v>
      </c>
      <c r="D139" s="1" t="s">
        <v>306</v>
      </c>
      <c r="E139" s="1" t="s">
        <v>307</v>
      </c>
      <c r="F139" s="1" t="str">
        <f>IF(C139&gt;0,"North",IF(C139&lt;0,"South","Equator"))</f>
        <v>North</v>
      </c>
      <c r="G139" s="7">
        <f>DEGREES(ACOS(MAX(-1,MIN(1,SIN(RADIANS(C139))*SIN(RADIANS('Sources and method'!$B$5))+COS(RADIANS(C139))*COS(RADIANS('Sources and method'!$B$5))*COS(RADIANS(B139-'Sources and method'!$B$4))))))</f>
        <v>133.33533931349396</v>
      </c>
    </row>
    <row r="140" spans="1:7" ht="15" customHeight="1" x14ac:dyDescent="0.25">
      <c r="A140" s="1" t="s">
        <v>311</v>
      </c>
      <c r="B140" s="6">
        <v>185.30346294979839</v>
      </c>
      <c r="C140" s="6">
        <v>18.382574999633629</v>
      </c>
      <c r="D140" s="1" t="s">
        <v>312</v>
      </c>
      <c r="E140" s="1" t="s">
        <v>313</v>
      </c>
      <c r="F140" s="1" t="str">
        <f>IF(C140&gt;0,"North",IF(C140&lt;0,"South","Equator"))</f>
        <v>North</v>
      </c>
      <c r="G140" s="7">
        <f>DEGREES(ACOS(MAX(-1,MIN(1,SIN(RADIANS(C140))*SIN(RADIANS('Sources and method'!$B$5))+COS(RADIANS(C140))*COS(RADIANS('Sources and method'!$B$5))*COS(RADIANS(B140-'Sources and method'!$B$4))))))</f>
        <v>133.3797722555183</v>
      </c>
    </row>
    <row r="141" spans="1:7" ht="15" customHeight="1" x14ac:dyDescent="0.25">
      <c r="A141" s="1" t="s">
        <v>299</v>
      </c>
      <c r="B141" s="6">
        <v>182.20863996732018</v>
      </c>
      <c r="C141" s="6">
        <v>74.904313334252222</v>
      </c>
      <c r="D141" s="1" t="s">
        <v>300</v>
      </c>
      <c r="E141" s="1" t="s">
        <v>301</v>
      </c>
      <c r="F141" s="1" t="str">
        <f>IF(C141&gt;0,"North",IF(C141&lt;0,"South","Equator"))</f>
        <v>North</v>
      </c>
      <c r="G141" s="7">
        <f>DEGREES(ACOS(MAX(-1,MIN(1,SIN(RADIANS(C141))*SIN(RADIANS('Sources and method'!$B$5))+COS(RADIANS(C141))*COS(RADIANS('Sources and method'!$B$5))*COS(RADIANS(B141-'Sources and method'!$B$4))))))</f>
        <v>133.58221104826922</v>
      </c>
    </row>
    <row r="142" spans="1:7" ht="15" customHeight="1" x14ac:dyDescent="0.25">
      <c r="A142" s="1" t="s">
        <v>266</v>
      </c>
      <c r="B142" s="6">
        <v>173.3380624557972</v>
      </c>
      <c r="C142" s="6">
        <v>47.029246665357981</v>
      </c>
      <c r="D142" s="1" t="s">
        <v>267</v>
      </c>
      <c r="E142" s="1" t="s">
        <v>268</v>
      </c>
      <c r="F142" s="1" t="str">
        <f>IF(C142&gt;0,"North",IF(C142&lt;0,"South","Equator"))</f>
        <v>North</v>
      </c>
      <c r="G142" s="7">
        <f>DEGREES(ACOS(MAX(-1,MIN(1,SIN(RADIANS(C142))*SIN(RADIANS('Sources and method'!$B$5))+COS(RADIANS(C142))*COS(RADIANS('Sources and method'!$B$5))*COS(RADIANS(B142-'Sources and method'!$B$4))))))</f>
        <v>133.72376486917256</v>
      </c>
    </row>
    <row r="143" spans="1:7" ht="15" customHeight="1" x14ac:dyDescent="0.25">
      <c r="A143" s="1" t="s">
        <v>70</v>
      </c>
      <c r="B143" s="6">
        <v>187.97845357517068</v>
      </c>
      <c r="C143" s="6">
        <v>15.124099159654303</v>
      </c>
      <c r="D143" s="1" t="s">
        <v>71</v>
      </c>
      <c r="E143" s="1" t="s">
        <v>72</v>
      </c>
      <c r="F143" s="1" t="str">
        <f>IF(C143&gt;0,"North",IF(C143&lt;0,"South","Equator"))</f>
        <v>North</v>
      </c>
      <c r="G143" s="7">
        <f>DEGREES(ACOS(MAX(-1,MIN(1,SIN(RADIANS(C143))*SIN(RADIANS('Sources and method'!$B$5))+COS(RADIANS(C143))*COS(RADIANS('Sources and method'!$B$5))*COS(RADIANS(B143-'Sources and method'!$B$4))))))</f>
        <v>133.72734100583551</v>
      </c>
    </row>
    <row r="144" spans="1:7" ht="15" customHeight="1" x14ac:dyDescent="0.25">
      <c r="A144" s="1" t="s">
        <v>338</v>
      </c>
      <c r="B144" s="6">
        <v>187.12332346306314</v>
      </c>
      <c r="C144" s="6">
        <v>17.084950414139833</v>
      </c>
      <c r="D144" s="1" t="s">
        <v>339</v>
      </c>
      <c r="E144" s="1" t="s">
        <v>340</v>
      </c>
      <c r="F144" s="1" t="str">
        <f>IF(C144&gt;0,"North",IF(C144&lt;0,"South","Equator"))</f>
        <v>North</v>
      </c>
      <c r="G144" s="7">
        <f>DEGREES(ACOS(MAX(-1,MIN(1,SIN(RADIANS(C144))*SIN(RADIANS('Sources and method'!$B$5))+COS(RADIANS(C144))*COS(RADIANS('Sources and method'!$B$5))*COS(RADIANS(B144-'Sources and method'!$B$4))))))</f>
        <v>134.14519264531788</v>
      </c>
    </row>
    <row r="145" spans="1:7" ht="15" customHeight="1" x14ac:dyDescent="0.25">
      <c r="A145" s="1" t="s">
        <v>284</v>
      </c>
      <c r="B145" s="6">
        <v>179.73614691137291</v>
      </c>
      <c r="C145" s="6">
        <v>30.41188249762083</v>
      </c>
      <c r="D145" s="1" t="s">
        <v>285</v>
      </c>
      <c r="E145" s="1" t="s">
        <v>286</v>
      </c>
      <c r="F145" s="1" t="str">
        <f>IF(C145&gt;0,"North",IF(C145&lt;0,"South","Equator"))</f>
        <v>North</v>
      </c>
      <c r="G145" s="7">
        <f>DEGREES(ACOS(MAX(-1,MIN(1,SIN(RADIANS(C145))*SIN(RADIANS('Sources and method'!$B$5))+COS(RADIANS(C145))*COS(RADIANS('Sources and method'!$B$5))*COS(RADIANS(B145-'Sources and method'!$B$4))))))</f>
        <v>134.24385890317646</v>
      </c>
    </row>
    <row r="146" spans="1:7" ht="15" customHeight="1" x14ac:dyDescent="0.25">
      <c r="A146" s="1" t="s">
        <v>269</v>
      </c>
      <c r="B146" s="6">
        <v>173.45573819278638</v>
      </c>
      <c r="C146" s="6">
        <v>53.125573805595756</v>
      </c>
      <c r="D146" s="1" t="s">
        <v>270</v>
      </c>
      <c r="E146" s="1" t="s">
        <v>271</v>
      </c>
      <c r="F146" s="1" t="str">
        <f>IF(C146&gt;0,"North",IF(C146&lt;0,"South","Equator"))</f>
        <v>North</v>
      </c>
      <c r="G146" s="7">
        <f>DEGREES(ACOS(MAX(-1,MIN(1,SIN(RADIANS(C146))*SIN(RADIANS('Sources and method'!$B$5))+COS(RADIANS(C146))*COS(RADIANS('Sources and method'!$B$5))*COS(RADIANS(B146-'Sources and method'!$B$4))))))</f>
        <v>134.40486501362938</v>
      </c>
    </row>
    <row r="147" spans="1:7" ht="15" customHeight="1" x14ac:dyDescent="0.25">
      <c r="A147" s="1" t="s">
        <v>362</v>
      </c>
      <c r="B147" s="6">
        <v>188.71193375083615</v>
      </c>
      <c r="C147" s="6">
        <v>15.551724163800062</v>
      </c>
      <c r="D147" s="1" t="s">
        <v>363</v>
      </c>
      <c r="E147" s="1" t="s">
        <v>364</v>
      </c>
      <c r="F147" s="1" t="str">
        <f>IF(C147&gt;0,"North",IF(C147&lt;0,"South","Equator"))</f>
        <v>North</v>
      </c>
      <c r="G147" s="7">
        <f>DEGREES(ACOS(MAX(-1,MIN(1,SIN(RADIANS(C147))*SIN(RADIANS('Sources and method'!$B$5))+COS(RADIANS(C147))*COS(RADIANS('Sources and method'!$B$5))*COS(RADIANS(B147-'Sources and method'!$B$4))))))</f>
        <v>134.55215921649403</v>
      </c>
    </row>
    <row r="148" spans="1:7" ht="15" customHeight="1" x14ac:dyDescent="0.25">
      <c r="A148" s="1" t="s">
        <v>350</v>
      </c>
      <c r="B148" s="6">
        <v>187.91464375087489</v>
      </c>
      <c r="C148" s="6">
        <v>16.852735075065887</v>
      </c>
      <c r="D148" s="1" t="s">
        <v>351</v>
      </c>
      <c r="E148" s="1" t="s">
        <v>352</v>
      </c>
      <c r="F148" s="1" t="str">
        <f>IF(C148&gt;0,"North",IF(C148&lt;0,"South","Equator"))</f>
        <v>North</v>
      </c>
      <c r="G148" s="7">
        <f>DEGREES(ACOS(MAX(-1,MIN(1,SIN(RADIANS(C148))*SIN(RADIANS('Sources and method'!$B$5))+COS(RADIANS(C148))*COS(RADIANS('Sources and method'!$B$5))*COS(RADIANS(B148-'Sources and method'!$B$4))))))</f>
        <v>134.64963202130428</v>
      </c>
    </row>
    <row r="149" spans="1:7" ht="15" customHeight="1" x14ac:dyDescent="0.25">
      <c r="A149" s="1" t="s">
        <v>377</v>
      </c>
      <c r="B149" s="6">
        <v>190.71833363340721</v>
      </c>
      <c r="C149" s="6">
        <v>13.257447566977614</v>
      </c>
      <c r="D149" s="1" t="s">
        <v>378</v>
      </c>
      <c r="E149" s="1" t="s">
        <v>379</v>
      </c>
      <c r="F149" s="1" t="str">
        <f>IF(C149&gt;0,"North",IF(C149&lt;0,"South","Equator"))</f>
        <v>North</v>
      </c>
      <c r="G149" s="7">
        <f>DEGREES(ACOS(MAX(-1,MIN(1,SIN(RADIANS(C149))*SIN(RADIANS('Sources and method'!$B$5))+COS(RADIANS(C149))*COS(RADIANS('Sources and method'!$B$5))*COS(RADIANS(B149-'Sources and method'!$B$4))))))</f>
        <v>134.7739239403403</v>
      </c>
    </row>
    <row r="150" spans="1:7" ht="15" customHeight="1" x14ac:dyDescent="0.25">
      <c r="A150" s="1" t="s">
        <v>380</v>
      </c>
      <c r="B150" s="6">
        <v>190.98574920453862</v>
      </c>
      <c r="C150" s="6">
        <v>13.126715417295859</v>
      </c>
      <c r="D150" s="1" t="s">
        <v>381</v>
      </c>
      <c r="E150" s="1" t="s">
        <v>382</v>
      </c>
      <c r="F150" s="1" t="str">
        <f>IF(C150&gt;0,"North",IF(C150&lt;0,"South","Equator"))</f>
        <v>North</v>
      </c>
      <c r="G150" s="7">
        <f>DEGREES(ACOS(MAX(-1,MIN(1,SIN(RADIANS(C150))*SIN(RADIANS('Sources and method'!$B$5))+COS(RADIANS(C150))*COS(RADIANS('Sources and method'!$B$5))*COS(RADIANS(B150-'Sources and method'!$B$4))))))</f>
        <v>134.90146752975861</v>
      </c>
    </row>
    <row r="151" spans="1:7" ht="15" customHeight="1" x14ac:dyDescent="0.25">
      <c r="A151" s="1" t="s">
        <v>275</v>
      </c>
      <c r="B151" s="6">
        <v>177.94097643703523</v>
      </c>
      <c r="C151" s="6">
        <v>38.015097497500626</v>
      </c>
      <c r="D151" s="1" t="s">
        <v>276</v>
      </c>
      <c r="E151" s="1" t="s">
        <v>277</v>
      </c>
      <c r="F151" s="1" t="str">
        <f>IF(C151&gt;0,"North",IF(C151&lt;0,"South","Equator"))</f>
        <v>North</v>
      </c>
      <c r="G151" s="7">
        <f>DEGREES(ACOS(MAX(-1,MIN(1,SIN(RADIANS(C151))*SIN(RADIANS('Sources and method'!$B$5))+COS(RADIANS(C151))*COS(RADIANS('Sources and method'!$B$5))*COS(RADIANS(B151-'Sources and method'!$B$4))))))</f>
        <v>135.21458018796713</v>
      </c>
    </row>
    <row r="152" spans="1:7" ht="15" customHeight="1" x14ac:dyDescent="0.25">
      <c r="A152" s="1" t="s">
        <v>515</v>
      </c>
      <c r="B152" s="6">
        <v>175.78683154319367</v>
      </c>
      <c r="C152" s="6">
        <v>59.106372915398822</v>
      </c>
      <c r="D152" s="1" t="s">
        <v>516</v>
      </c>
      <c r="E152" s="1" t="s">
        <v>517</v>
      </c>
      <c r="F152" s="1" t="str">
        <f>IF(C152&gt;0,"North",IF(C152&lt;0,"South","Equator"))</f>
        <v>North</v>
      </c>
      <c r="G152" s="7">
        <f>DEGREES(ACOS(MAX(-1,MIN(1,SIN(RADIANS(C152))*SIN(RADIANS('Sources and method'!$B$5))+COS(RADIANS(C152))*COS(RADIANS('Sources and method'!$B$5))*COS(RADIANS(B152-'Sources and method'!$B$4))))))</f>
        <v>135.57512574083052</v>
      </c>
    </row>
    <row r="153" spans="1:7" ht="15" customHeight="1" x14ac:dyDescent="0.25">
      <c r="A153" s="1" t="s">
        <v>485</v>
      </c>
      <c r="B153" s="6">
        <v>216.43938424235461</v>
      </c>
      <c r="C153" s="6">
        <v>-5.4019220802016958</v>
      </c>
      <c r="D153" s="1" t="s">
        <v>486</v>
      </c>
      <c r="E153" s="1" t="s">
        <v>487</v>
      </c>
      <c r="F153" s="1" t="str">
        <f>IF(C153&gt;0,"North",IF(C153&lt;0,"South","Equator"))</f>
        <v>South</v>
      </c>
      <c r="G153" s="7">
        <f>DEGREES(ACOS(MAX(-1,MIN(1,SIN(RADIANS(C153))*SIN(RADIANS('Sources and method'!$B$5))+COS(RADIANS(C153))*COS(RADIANS('Sources and method'!$B$5))*COS(RADIANS(B153-'Sources and method'!$B$4))))))</f>
        <v>135.71717753693753</v>
      </c>
    </row>
    <row r="154" spans="1:7" ht="15" customHeight="1" x14ac:dyDescent="0.25">
      <c r="A154" s="1" t="s">
        <v>272</v>
      </c>
      <c r="B154" s="6">
        <v>176.39854969451952</v>
      </c>
      <c r="C154" s="6">
        <v>55.886904582851457</v>
      </c>
      <c r="D154" s="1" t="s">
        <v>273</v>
      </c>
      <c r="E154" s="1" t="s">
        <v>274</v>
      </c>
      <c r="F154" s="1" t="str">
        <f>IF(C154&gt;0,"North",IF(C154&lt;0,"South","Equator"))</f>
        <v>North</v>
      </c>
      <c r="G154" s="7">
        <f>DEGREES(ACOS(MAX(-1,MIN(1,SIN(RADIANS(C154))*SIN(RADIANS('Sources and method'!$B$5))+COS(RADIANS(C154))*COS(RADIANS('Sources and method'!$B$5))*COS(RADIANS(B154-'Sources and method'!$B$4))))))</f>
        <v>136.12007509338468</v>
      </c>
    </row>
    <row r="155" spans="1:7" ht="15" customHeight="1" x14ac:dyDescent="0.25">
      <c r="A155" s="1" t="s">
        <v>425</v>
      </c>
      <c r="B155" s="6">
        <v>248.16308331996706</v>
      </c>
      <c r="C155" s="6">
        <v>78.198165001128714</v>
      </c>
      <c r="D155" s="1" t="s">
        <v>426</v>
      </c>
      <c r="E155" s="1" t="s">
        <v>427</v>
      </c>
      <c r="F155" s="1" t="str">
        <f>IF(C155&gt;0,"North",IF(C155&lt;0,"South","Equator"))</f>
        <v>North</v>
      </c>
      <c r="G155" s="7">
        <f>DEGREES(ACOS(MAX(-1,MIN(1,SIN(RADIANS(C155))*SIN(RADIANS('Sources and method'!$B$5))+COS(RADIANS(C155))*COS(RADIANS('Sources and method'!$B$5))*COS(RADIANS(B155-'Sources and method'!$B$4))))))</f>
        <v>136.86301556271746</v>
      </c>
    </row>
    <row r="156" spans="1:7" ht="15" customHeight="1" x14ac:dyDescent="0.25">
      <c r="A156" s="1" t="s">
        <v>518</v>
      </c>
      <c r="B156" s="6">
        <v>178.02942250883015</v>
      </c>
      <c r="C156" s="6">
        <v>52.107977084854397</v>
      </c>
      <c r="D156" s="1" t="s">
        <v>519</v>
      </c>
      <c r="E156" s="1" t="s">
        <v>520</v>
      </c>
      <c r="F156" s="1" t="str">
        <f>IF(C156&gt;0,"North",IF(C156&lt;0,"South","Equator"))</f>
        <v>North</v>
      </c>
      <c r="G156" s="7">
        <f>DEGREES(ACOS(MAX(-1,MIN(1,SIN(RADIANS(C156))*SIN(RADIANS('Sources and method'!$B$5))+COS(RADIANS(C156))*COS(RADIANS('Sources and method'!$B$5))*COS(RADIANS(B156-'Sources and method'!$B$4))))))</f>
        <v>137.15492147163226</v>
      </c>
    </row>
    <row r="157" spans="1:7" ht="15" customHeight="1" x14ac:dyDescent="0.25">
      <c r="A157" s="1" t="s">
        <v>278</v>
      </c>
      <c r="B157" s="6">
        <v>178.45418863929751</v>
      </c>
      <c r="C157" s="6">
        <v>52.326846680342683</v>
      </c>
      <c r="D157" s="1" t="s">
        <v>279</v>
      </c>
      <c r="E157" s="1" t="s">
        <v>280</v>
      </c>
      <c r="F157" s="1" t="str">
        <f>IF(C157&gt;0,"North",IF(C157&lt;0,"South","Equator"))</f>
        <v>North</v>
      </c>
      <c r="G157" s="7">
        <f>DEGREES(ACOS(MAX(-1,MIN(1,SIN(RADIANS(C157))*SIN(RADIANS('Sources and method'!$B$5))+COS(RADIANS(C157))*COS(RADIANS('Sources and method'!$B$5))*COS(RADIANS(B157-'Sources and method'!$B$4))))))</f>
        <v>137.4147941747616</v>
      </c>
    </row>
    <row r="158" spans="1:7" ht="15" customHeight="1" x14ac:dyDescent="0.25">
      <c r="A158" s="1" t="s">
        <v>521</v>
      </c>
      <c r="B158" s="6">
        <v>179.35385013679004</v>
      </c>
      <c r="C158" s="6">
        <v>57.929663395366163</v>
      </c>
      <c r="D158" s="1" t="s">
        <v>522</v>
      </c>
      <c r="E158" s="1" t="s">
        <v>523</v>
      </c>
      <c r="F158" s="1" t="str">
        <f>IF(C158&gt;0,"North",IF(C158&lt;0,"South","Equator"))</f>
        <v>North</v>
      </c>
      <c r="G158" s="7">
        <f>DEGREES(ACOS(MAX(-1,MIN(1,SIN(RADIANS(C158))*SIN(RADIANS('Sources and method'!$B$5))+COS(RADIANS(C158))*COS(RADIANS('Sources and method'!$B$5))*COS(RADIANS(B158-'Sources and method'!$B$4))))))</f>
        <v>137.55491124482987</v>
      </c>
    </row>
    <row r="159" spans="1:7" ht="15" customHeight="1" x14ac:dyDescent="0.25">
      <c r="A159" s="1" t="s">
        <v>431</v>
      </c>
      <c r="B159" s="6">
        <v>262.40547929586484</v>
      </c>
      <c r="C159" s="6">
        <v>75.704422931270173</v>
      </c>
      <c r="D159" s="1" t="s">
        <v>432</v>
      </c>
      <c r="E159" s="1" t="s">
        <v>433</v>
      </c>
      <c r="F159" s="1" t="str">
        <f>IF(C159&gt;0,"North",IF(C159&lt;0,"South","Equator"))</f>
        <v>North</v>
      </c>
      <c r="G159" s="7">
        <f>DEGREES(ACOS(MAX(-1,MIN(1,SIN(RADIANS(C159))*SIN(RADIANS('Sources and method'!$B$5))+COS(RADIANS(C159))*COS(RADIANS('Sources and method'!$B$5))*COS(RADIANS(B159-'Sources and method'!$B$4))))))</f>
        <v>137.73144490806862</v>
      </c>
    </row>
    <row r="160" spans="1:7" ht="15" customHeight="1" x14ac:dyDescent="0.25">
      <c r="A160" s="1" t="s">
        <v>281</v>
      </c>
      <c r="B160" s="6">
        <v>179.39981173153203</v>
      </c>
      <c r="C160" s="6">
        <v>53.374841687513253</v>
      </c>
      <c r="D160" s="1" t="s">
        <v>282</v>
      </c>
      <c r="E160" s="1" t="s">
        <v>283</v>
      </c>
      <c r="F160" s="1" t="str">
        <f>IF(C160&gt;0,"North",IF(C160&lt;0,"South","Equator"))</f>
        <v>North</v>
      </c>
      <c r="G160" s="7">
        <f>DEGREES(ACOS(MAX(-1,MIN(1,SIN(RADIANS(C160))*SIN(RADIANS('Sources and method'!$B$5))+COS(RADIANS(C160))*COS(RADIANS('Sources and method'!$B$5))*COS(RADIANS(B160-'Sources and method'!$B$4))))))</f>
        <v>137.9611849204824</v>
      </c>
    </row>
    <row r="161" spans="1:7" ht="15" customHeight="1" x14ac:dyDescent="0.25">
      <c r="A161" s="1" t="s">
        <v>524</v>
      </c>
      <c r="B161" s="6">
        <v>179.78992054466542</v>
      </c>
      <c r="C161" s="6">
        <v>52.707556670859276</v>
      </c>
      <c r="D161" s="1" t="s">
        <v>525</v>
      </c>
      <c r="E161" s="1" t="s">
        <v>526</v>
      </c>
      <c r="F161" s="1" t="str">
        <f>IF(C161&gt;0,"North",IF(C161&lt;0,"South","Equator"))</f>
        <v>North</v>
      </c>
      <c r="G161" s="7">
        <f>DEGREES(ACOS(MAX(-1,MIN(1,SIN(RADIANS(C161))*SIN(RADIANS('Sources and method'!$B$5))+COS(RADIANS(C161))*COS(RADIANS('Sources and method'!$B$5))*COS(RADIANS(B161-'Sources and method'!$B$4))))))</f>
        <v>138.21993935944613</v>
      </c>
    </row>
    <row r="162" spans="1:7" ht="15" customHeight="1" x14ac:dyDescent="0.25">
      <c r="A162" s="1" t="s">
        <v>320</v>
      </c>
      <c r="B162" s="6">
        <v>185.63338572585988</v>
      </c>
      <c r="C162" s="6">
        <v>29.895435998316071</v>
      </c>
      <c r="D162" s="1" t="s">
        <v>321</v>
      </c>
      <c r="E162" s="1" t="s">
        <v>322</v>
      </c>
      <c r="F162" s="1" t="str">
        <f>IF(C162&gt;0,"North",IF(C162&lt;0,"South","Equator"))</f>
        <v>North</v>
      </c>
      <c r="G162" s="7">
        <f>DEGREES(ACOS(MAX(-1,MIN(1,SIN(RADIANS(C162))*SIN(RADIANS('Sources and method'!$B$5))+COS(RADIANS(C162))*COS(RADIANS('Sources and method'!$B$5))*COS(RADIANS(B162-'Sources and method'!$B$4))))))</f>
        <v>138.80906553548817</v>
      </c>
    </row>
    <row r="163" spans="1:7" ht="15" customHeight="1" x14ac:dyDescent="0.25">
      <c r="A163" s="1" t="s">
        <v>302</v>
      </c>
      <c r="B163" s="6">
        <v>182.50858367399812</v>
      </c>
      <c r="C163" s="6">
        <v>39.881469212296132</v>
      </c>
      <c r="D163" s="1" t="s">
        <v>303</v>
      </c>
      <c r="E163" s="1" t="s">
        <v>304</v>
      </c>
      <c r="F163" s="1" t="str">
        <f>IF(C163&gt;0,"North",IF(C163&lt;0,"South","Equator"))</f>
        <v>North</v>
      </c>
      <c r="G163" s="7">
        <f>DEGREES(ACOS(MAX(-1,MIN(1,SIN(RADIANS(C163))*SIN(RADIANS('Sources and method'!$B$5))+COS(RADIANS(C163))*COS(RADIANS('Sources and method'!$B$5))*COS(RADIANS(B163-'Sources and method'!$B$4))))))</f>
        <v>139.09425049464846</v>
      </c>
    </row>
    <row r="164" spans="1:7" ht="15" customHeight="1" x14ac:dyDescent="0.25">
      <c r="A164" s="1" t="s">
        <v>530</v>
      </c>
      <c r="B164" s="6">
        <v>183.76212940719904</v>
      </c>
      <c r="C164" s="6">
        <v>35.959058776271291</v>
      </c>
      <c r="D164" s="1" t="s">
        <v>531</v>
      </c>
      <c r="E164" s="1" t="s">
        <v>532</v>
      </c>
      <c r="F164" s="1" t="str">
        <f>IF(C164&gt;0,"North",IF(C164&lt;0,"South","Equator"))</f>
        <v>North</v>
      </c>
      <c r="G164" s="7">
        <f>DEGREES(ACOS(MAX(-1,MIN(1,SIN(RADIANS(C164))*SIN(RADIANS('Sources and method'!$B$5))+COS(RADIANS(C164))*COS(RADIANS('Sources and method'!$B$5))*COS(RADIANS(B164-'Sources and method'!$B$4))))))</f>
        <v>139.18304657878684</v>
      </c>
    </row>
    <row r="165" spans="1:7" ht="15" customHeight="1" x14ac:dyDescent="0.25">
      <c r="A165" s="1" t="s">
        <v>527</v>
      </c>
      <c r="B165" s="6">
        <v>182.22950863971781</v>
      </c>
      <c r="C165" s="6">
        <v>41.740856256144461</v>
      </c>
      <c r="D165" s="1" t="s">
        <v>528</v>
      </c>
      <c r="E165" s="1" t="s">
        <v>529</v>
      </c>
      <c r="F165" s="1" t="str">
        <f>IF(C165&gt;0,"North",IF(C165&lt;0,"South","Equator"))</f>
        <v>North</v>
      </c>
      <c r="G165" s="7">
        <f>DEGREES(ACOS(MAX(-1,MIN(1,SIN(RADIANS(C165))*SIN(RADIANS('Sources and method'!$B$5))+COS(RADIANS(C165))*COS(RADIANS('Sources and method'!$B$5))*COS(RADIANS(B165-'Sources and method'!$B$4))))))</f>
        <v>139.20764185982873</v>
      </c>
    </row>
    <row r="166" spans="1:7" ht="15" customHeight="1" x14ac:dyDescent="0.25">
      <c r="A166" s="1" t="s">
        <v>290</v>
      </c>
      <c r="B166" s="6">
        <v>181.59622661308512</v>
      </c>
      <c r="C166" s="6">
        <v>52.711224116733518</v>
      </c>
      <c r="D166" s="1" t="s">
        <v>291</v>
      </c>
      <c r="E166" s="1" t="s">
        <v>292</v>
      </c>
      <c r="F166" s="1" t="str">
        <f>IF(C166&gt;0,"North",IF(C166&lt;0,"South","Equator"))</f>
        <v>North</v>
      </c>
      <c r="G166" s="7">
        <f>DEGREES(ACOS(MAX(-1,MIN(1,SIN(RADIANS(C166))*SIN(RADIANS('Sources and method'!$B$5))+COS(RADIANS(C166))*COS(RADIANS('Sources and method'!$B$5))*COS(RADIANS(B166-'Sources and method'!$B$4))))))</f>
        <v>139.31295508423128</v>
      </c>
    </row>
    <row r="167" spans="1:7" ht="15" customHeight="1" x14ac:dyDescent="0.25">
      <c r="A167" s="1" t="s">
        <v>308</v>
      </c>
      <c r="B167" s="6">
        <v>183.90901193546142</v>
      </c>
      <c r="C167" s="6">
        <v>36.328995549424874</v>
      </c>
      <c r="D167" s="1" t="s">
        <v>309</v>
      </c>
      <c r="E167" s="1" t="s">
        <v>310</v>
      </c>
      <c r="F167" s="1" t="str">
        <f>IF(C167&gt;0,"North",IF(C167&lt;0,"South","Equator"))</f>
        <v>North</v>
      </c>
      <c r="G167" s="7">
        <f>DEGREES(ACOS(MAX(-1,MIN(1,SIN(RADIANS(C167))*SIN(RADIANS('Sources and method'!$B$5))+COS(RADIANS(C167))*COS(RADIANS('Sources and method'!$B$5))*COS(RADIANS(B167-'Sources and method'!$B$4))))))</f>
        <v>139.39117637791324</v>
      </c>
    </row>
    <row r="168" spans="1:7" ht="15" customHeight="1" x14ac:dyDescent="0.25">
      <c r="A168" s="1" t="s">
        <v>539</v>
      </c>
      <c r="B168" s="6">
        <v>200.15892232572489</v>
      </c>
      <c r="C168" s="6">
        <v>9.7874933368922701</v>
      </c>
      <c r="D168" s="1" t="s">
        <v>540</v>
      </c>
      <c r="E168" s="1" t="s">
        <v>541</v>
      </c>
      <c r="F168" s="1" t="str">
        <f>IF(C168&gt;0,"North",IF(C168&lt;0,"South","Equator"))</f>
        <v>North</v>
      </c>
      <c r="G168" s="7">
        <f>DEGREES(ACOS(MAX(-1,MIN(1,SIN(RADIANS(C168))*SIN(RADIANS('Sources and method'!$B$5))+COS(RADIANS(C168))*COS(RADIANS('Sources and method'!$B$5))*COS(RADIANS(B168-'Sources and method'!$B$4))))))</f>
        <v>139.50567700204493</v>
      </c>
    </row>
    <row r="169" spans="1:7" ht="15" customHeight="1" x14ac:dyDescent="0.25">
      <c r="A169" s="1" t="s">
        <v>365</v>
      </c>
      <c r="B169" s="6">
        <v>188.99019479852879</v>
      </c>
      <c r="C169" s="6">
        <v>27.959945821349429</v>
      </c>
      <c r="D169" s="1" t="s">
        <v>366</v>
      </c>
      <c r="E169" s="1" t="s">
        <v>367</v>
      </c>
      <c r="F169" s="1" t="str">
        <f>IF(C169&gt;0,"North",IF(C169&lt;0,"South","Equator"))</f>
        <v>North</v>
      </c>
      <c r="G169" s="7">
        <f>DEGREES(ACOS(MAX(-1,MIN(1,SIN(RADIANS(C169))*SIN(RADIANS('Sources and method'!$B$5))+COS(RADIANS(C169))*COS(RADIANS('Sources and method'!$B$5))*COS(RADIANS(B169-'Sources and method'!$B$4))))))</f>
        <v>140.81290143144111</v>
      </c>
    </row>
    <row r="170" spans="1:7" ht="15" customHeight="1" x14ac:dyDescent="0.25">
      <c r="A170" s="1" t="s">
        <v>353</v>
      </c>
      <c r="B170" s="6">
        <v>188.46305789460189</v>
      </c>
      <c r="C170" s="6">
        <v>30.277433334688244</v>
      </c>
      <c r="D170" s="1" t="s">
        <v>354</v>
      </c>
      <c r="E170" s="1" t="s">
        <v>355</v>
      </c>
      <c r="F170" s="1" t="str">
        <f>IF(C170&gt;0,"North",IF(C170&lt;0,"South","Equator"))</f>
        <v>North</v>
      </c>
      <c r="G170" s="7">
        <f>DEGREES(ACOS(MAX(-1,MIN(1,SIN(RADIANS(C170))*SIN(RADIANS('Sources and method'!$B$5))+COS(RADIANS(C170))*COS(RADIANS('Sources and method'!$B$5))*COS(RADIANS(B170-'Sources and method'!$B$4))))))</f>
        <v>141.23507113838431</v>
      </c>
    </row>
    <row r="171" spans="1:7" ht="15" customHeight="1" x14ac:dyDescent="0.25">
      <c r="A171" s="1" t="s">
        <v>323</v>
      </c>
      <c r="B171" s="6">
        <v>186.15124568950566</v>
      </c>
      <c r="C171" s="6">
        <v>39.382437084731009</v>
      </c>
      <c r="D171" s="1" t="s">
        <v>324</v>
      </c>
      <c r="E171" s="1" t="s">
        <v>325</v>
      </c>
      <c r="F171" s="1" t="str">
        <f>IF(C171&gt;0,"North",IF(C171&lt;0,"South","Equator"))</f>
        <v>North</v>
      </c>
      <c r="G171" s="7">
        <f>DEGREES(ACOS(MAX(-1,MIN(1,SIN(RADIANS(C171))*SIN(RADIANS('Sources and method'!$B$5))+COS(RADIANS(C171))*COS(RADIANS('Sources and method'!$B$5))*COS(RADIANS(B171-'Sources and method'!$B$4))))))</f>
        <v>141.76384713918461</v>
      </c>
    </row>
    <row r="172" spans="1:7" ht="15" customHeight="1" x14ac:dyDescent="0.25">
      <c r="A172" s="1" t="s">
        <v>422</v>
      </c>
      <c r="B172" s="6">
        <v>220.04769998216554</v>
      </c>
      <c r="C172" s="6">
        <v>-0.288875729640791</v>
      </c>
      <c r="D172" s="1" t="s">
        <v>423</v>
      </c>
      <c r="E172" s="1" t="s">
        <v>424</v>
      </c>
      <c r="F172" s="1" t="str">
        <f>IF(C172&gt;0,"North",IF(C172&lt;0,"South","Equator"))</f>
        <v>South</v>
      </c>
      <c r="G172" s="7">
        <f>DEGREES(ACOS(MAX(-1,MIN(1,SIN(RADIANS(C172))*SIN(RADIANS('Sources and method'!$B$5))+COS(RADIANS(C172))*COS(RADIANS('Sources and method'!$B$5))*COS(RADIANS(B172-'Sources and method'!$B$4))))))</f>
        <v>141.76422022704239</v>
      </c>
    </row>
    <row r="173" spans="1:7" ht="15" customHeight="1" x14ac:dyDescent="0.25">
      <c r="A173" s="1" t="s">
        <v>326</v>
      </c>
      <c r="B173" s="6">
        <v>186.39670491630079</v>
      </c>
      <c r="C173" s="6">
        <v>45.684649119074514</v>
      </c>
      <c r="D173" s="1" t="s">
        <v>327</v>
      </c>
      <c r="E173" s="1" t="s">
        <v>328</v>
      </c>
      <c r="F173" s="1" t="str">
        <f>IF(C173&gt;0,"North",IF(C173&lt;0,"South","Equator"))</f>
        <v>North</v>
      </c>
      <c r="G173" s="7">
        <f>DEGREES(ACOS(MAX(-1,MIN(1,SIN(RADIANS(C173))*SIN(RADIANS('Sources and method'!$B$5))+COS(RADIANS(C173))*COS(RADIANS('Sources and method'!$B$5))*COS(RADIANS(B173-'Sources and method'!$B$4))))))</f>
        <v>142.5735884473485</v>
      </c>
    </row>
    <row r="174" spans="1:7" ht="15" customHeight="1" x14ac:dyDescent="0.25">
      <c r="A174" s="1" t="s">
        <v>389</v>
      </c>
      <c r="B174" s="6">
        <v>192.61072841391183</v>
      </c>
      <c r="C174" s="6">
        <v>25.500710430216731</v>
      </c>
      <c r="D174" s="1" t="s">
        <v>390</v>
      </c>
      <c r="E174" s="1" t="s">
        <v>391</v>
      </c>
      <c r="F174" s="1" t="str">
        <f>IF(C174&gt;0,"North",IF(C174&lt;0,"South","Equator"))</f>
        <v>North</v>
      </c>
      <c r="G174" s="7">
        <f>DEGREES(ACOS(MAX(-1,MIN(1,SIN(RADIANS(C174))*SIN(RADIANS('Sources and method'!$B$5))+COS(RADIANS(C174))*COS(RADIANS('Sources and method'!$B$5))*COS(RADIANS(B174-'Sources and method'!$B$4))))))</f>
        <v>142.75124036669871</v>
      </c>
    </row>
    <row r="175" spans="1:7" ht="15" customHeight="1" x14ac:dyDescent="0.25">
      <c r="A175" s="1" t="s">
        <v>335</v>
      </c>
      <c r="B175" s="6">
        <v>187.04634134423216</v>
      </c>
      <c r="C175" s="6">
        <v>44.093616874930653</v>
      </c>
      <c r="D175" s="1" t="s">
        <v>336</v>
      </c>
      <c r="E175" s="1" t="s">
        <v>337</v>
      </c>
      <c r="F175" s="1" t="str">
        <f>IF(C175&gt;0,"North",IF(C175&lt;0,"South","Equator"))</f>
        <v>North</v>
      </c>
      <c r="G175" s="7">
        <f>DEGREES(ACOS(MAX(-1,MIN(1,SIN(RADIANS(C175))*SIN(RADIANS('Sources and method'!$B$5))+COS(RADIANS(C175))*COS(RADIANS('Sources and method'!$B$5))*COS(RADIANS(B175-'Sources and method'!$B$4))))))</f>
        <v>142.96631078487158</v>
      </c>
    </row>
    <row r="176" spans="1:7" ht="15" customHeight="1" x14ac:dyDescent="0.25">
      <c r="A176" s="1" t="s">
        <v>416</v>
      </c>
      <c r="B176" s="6">
        <v>215.13361843283579</v>
      </c>
      <c r="C176" s="6">
        <v>3.9831929134832866</v>
      </c>
      <c r="D176" s="1" t="s">
        <v>417</v>
      </c>
      <c r="E176" s="1" t="s">
        <v>418</v>
      </c>
      <c r="F176" s="1" t="str">
        <f>IF(C176&gt;0,"North",IF(C176&lt;0,"South","Equator"))</f>
        <v>North</v>
      </c>
      <c r="G176" s="7">
        <f>DEGREES(ACOS(MAX(-1,MIN(1,SIN(RADIANS(C176))*SIN(RADIANS('Sources and method'!$B$5))+COS(RADIANS(C176))*COS(RADIANS('Sources and method'!$B$5))*COS(RADIANS(B176-'Sources and method'!$B$4))))))</f>
        <v>143.7439955085934</v>
      </c>
    </row>
    <row r="177" spans="1:7" ht="15" customHeight="1" x14ac:dyDescent="0.25">
      <c r="A177" s="1" t="s">
        <v>428</v>
      </c>
      <c r="B177" s="6">
        <v>251.59221454832527</v>
      </c>
      <c r="C177" s="6">
        <v>70.356703845126162</v>
      </c>
      <c r="D177" s="1" t="s">
        <v>429</v>
      </c>
      <c r="E177" s="1" t="s">
        <v>430</v>
      </c>
      <c r="F177" s="1" t="str">
        <f>IF(C177&gt;0,"North",IF(C177&lt;0,"South","Equator"))</f>
        <v>North</v>
      </c>
      <c r="G177" s="7">
        <f>DEGREES(ACOS(MAX(-1,MIN(1,SIN(RADIANS(C177))*SIN(RADIANS('Sources and method'!$B$5))+COS(RADIANS(C177))*COS(RADIANS('Sources and method'!$B$5))*COS(RADIANS(B177-'Sources and method'!$B$4))))))</f>
        <v>143.91723827163466</v>
      </c>
    </row>
    <row r="178" spans="1:7" ht="15" customHeight="1" x14ac:dyDescent="0.25">
      <c r="A178" s="1" t="s">
        <v>371</v>
      </c>
      <c r="B178" s="6">
        <v>190.38708697339692</v>
      </c>
      <c r="C178" s="6">
        <v>41.150839158991289</v>
      </c>
      <c r="D178" s="1" t="s">
        <v>372</v>
      </c>
      <c r="E178" s="1" t="s">
        <v>373</v>
      </c>
      <c r="F178" s="1" t="str">
        <f>IF(C178&gt;0,"North",IF(C178&lt;0,"South","Equator"))</f>
        <v>North</v>
      </c>
      <c r="G178" s="7">
        <f>DEGREES(ACOS(MAX(-1,MIN(1,SIN(RADIANS(C178))*SIN(RADIANS('Sources and method'!$B$5))+COS(RADIANS(C178))*COS(RADIANS('Sources and method'!$B$5))*COS(RADIANS(B178-'Sources and method'!$B$4))))))</f>
        <v>145.20079928399991</v>
      </c>
    </row>
    <row r="179" spans="1:7" ht="15" customHeight="1" x14ac:dyDescent="0.25">
      <c r="A179" s="1" t="s">
        <v>374</v>
      </c>
      <c r="B179" s="6">
        <v>190.46967227837578</v>
      </c>
      <c r="C179" s="6">
        <v>41.273860828245397</v>
      </c>
      <c r="D179" s="1" t="s">
        <v>375</v>
      </c>
      <c r="E179" s="1" t="s">
        <v>376</v>
      </c>
      <c r="F179" s="1" t="str">
        <f>IF(C179&gt;0,"North",IF(C179&lt;0,"South","Equator"))</f>
        <v>North</v>
      </c>
      <c r="G179" s="7">
        <f>DEGREES(ACOS(MAX(-1,MIN(1,SIN(RADIANS(C179))*SIN(RADIANS('Sources and method'!$B$5))+COS(RADIANS(C179))*COS(RADIANS('Sources and method'!$B$5))*COS(RADIANS(B179-'Sources and method'!$B$4))))))</f>
        <v>145.27378358482454</v>
      </c>
    </row>
    <row r="180" spans="1:7" ht="15" customHeight="1" x14ac:dyDescent="0.25">
      <c r="A180" s="1" t="s">
        <v>554</v>
      </c>
      <c r="B180" s="6">
        <v>225.51475614126304</v>
      </c>
      <c r="C180" s="6">
        <v>1.8413571080278701</v>
      </c>
      <c r="D180" s="1" t="s">
        <v>555</v>
      </c>
      <c r="E180" s="1" t="s">
        <v>556</v>
      </c>
      <c r="F180" s="1" t="str">
        <f>IF(C180&gt;0,"North",IF(C180&lt;0,"South","Equator"))</f>
        <v>North</v>
      </c>
      <c r="G180" s="7">
        <f>DEGREES(ACOS(MAX(-1,MIN(1,SIN(RADIANS(C180))*SIN(RADIANS('Sources and method'!$B$5))+COS(RADIANS(C180))*COS(RADIANS('Sources and method'!$B$5))*COS(RADIANS(B180-'Sources and method'!$B$4))))))</f>
        <v>145.34274795110611</v>
      </c>
    </row>
    <row r="181" spans="1:7" ht="15" customHeight="1" x14ac:dyDescent="0.25">
      <c r="A181" s="1" t="s">
        <v>545</v>
      </c>
      <c r="B181" s="6">
        <v>202.74530209606601</v>
      </c>
      <c r="C181" s="6">
        <v>19.437566883750314</v>
      </c>
      <c r="D181" s="1" t="s">
        <v>546</v>
      </c>
      <c r="E181" s="1" t="s">
        <v>547</v>
      </c>
      <c r="F181" s="1" t="str">
        <f>IF(C181&gt;0,"North",IF(C181&lt;0,"South","Equator"))</f>
        <v>North</v>
      </c>
      <c r="G181" s="7">
        <f>DEGREES(ACOS(MAX(-1,MIN(1,SIN(RADIANS(C181))*SIN(RADIANS('Sources and method'!$B$5))+COS(RADIANS(C181))*COS(RADIANS('Sources and method'!$B$5))*COS(RADIANS(B181-'Sources and method'!$B$4))))))</f>
        <v>147.70960737348972</v>
      </c>
    </row>
    <row r="182" spans="1:7" ht="15" customHeight="1" x14ac:dyDescent="0.25">
      <c r="A182" s="1" t="s">
        <v>419</v>
      </c>
      <c r="B182" s="6">
        <v>218.1830830837294</v>
      </c>
      <c r="C182" s="6">
        <v>9.8919141731496598</v>
      </c>
      <c r="D182" s="1" t="s">
        <v>420</v>
      </c>
      <c r="E182" s="1" t="s">
        <v>421</v>
      </c>
      <c r="F182" s="1" t="str">
        <f>IF(C182&gt;0,"North",IF(C182&lt;0,"South","Equator"))</f>
        <v>North</v>
      </c>
      <c r="G182" s="7">
        <f>DEGREES(ACOS(MAX(-1,MIN(1,SIN(RADIANS(C182))*SIN(RADIANS('Sources and method'!$B$5))+COS(RADIANS(C182))*COS(RADIANS('Sources and method'!$B$5))*COS(RADIANS(B182-'Sources and method'!$B$4))))))</f>
        <v>150.38218016140917</v>
      </c>
    </row>
    <row r="183" spans="1:7" ht="15" customHeight="1" x14ac:dyDescent="0.25">
      <c r="A183" s="1" t="s">
        <v>73</v>
      </c>
      <c r="B183" s="6">
        <v>217.0767516410022</v>
      </c>
      <c r="C183" s="6">
        <v>13.780092086877699</v>
      </c>
      <c r="D183" s="1" t="s">
        <v>74</v>
      </c>
      <c r="E183" s="1" t="s">
        <v>75</v>
      </c>
      <c r="F183" s="1" t="str">
        <f>IF(C183&gt;0,"North",IF(C183&lt;0,"South","Equator"))</f>
        <v>North</v>
      </c>
      <c r="G183" s="7">
        <f>DEGREES(ACOS(MAX(-1,MIN(1,SIN(RADIANS(C183))*SIN(RADIANS('Sources and method'!$B$5))+COS(RADIANS(C183))*COS(RADIANS('Sources and method'!$B$5))*COS(RADIANS(B183-'Sources and method'!$B$4))))))</f>
        <v>153.19157497404794</v>
      </c>
    </row>
    <row r="184" spans="1:7" ht="15" customHeight="1" x14ac:dyDescent="0.25">
      <c r="A184" s="1" t="s">
        <v>542</v>
      </c>
      <c r="B184" s="6">
        <v>202.41118388048284</v>
      </c>
      <c r="C184" s="6">
        <v>45.387928751472536</v>
      </c>
      <c r="D184" s="1" t="s">
        <v>543</v>
      </c>
      <c r="E184" s="1" t="s">
        <v>544</v>
      </c>
      <c r="F184" s="1" t="str">
        <f>IF(C184&gt;0,"North",IF(C184&lt;0,"South","Equator"))</f>
        <v>North</v>
      </c>
      <c r="G184" s="7">
        <f>DEGREES(ACOS(MAX(-1,MIN(1,SIN(RADIANS(C184))*SIN(RADIANS('Sources and method'!$B$5))+COS(RADIANS(C184))*COS(RADIANS('Sources and method'!$B$5))*COS(RADIANS(B184-'Sources and method'!$B$4))))))</f>
        <v>153.76007407878757</v>
      </c>
    </row>
    <row r="185" spans="1:7" ht="15" customHeight="1" x14ac:dyDescent="0.25">
      <c r="A185" s="1" t="s">
        <v>551</v>
      </c>
      <c r="B185" s="6">
        <v>216.3618485715624</v>
      </c>
      <c r="C185" s="6">
        <v>56.320090414057546</v>
      </c>
      <c r="D185" s="1" t="s">
        <v>552</v>
      </c>
      <c r="E185" s="1" t="s">
        <v>553</v>
      </c>
      <c r="F185" s="1" t="str">
        <f>IF(C185&gt;0,"North",IF(C185&lt;0,"South","Equator"))</f>
        <v>North</v>
      </c>
      <c r="G185" s="7">
        <f>DEGREES(ACOS(MAX(-1,MIN(1,SIN(RADIANS(C185))*SIN(RADIANS('Sources and method'!$B$5))+COS(RADIANS(C185))*COS(RADIANS('Sources and method'!$B$5))*COS(RADIANS(B185-'Sources and method'!$B$4))))))</f>
        <v>155.73421960750534</v>
      </c>
    </row>
    <row r="186" spans="1:7" ht="15" customHeight="1" x14ac:dyDescent="0.25">
      <c r="A186" s="1" t="s">
        <v>548</v>
      </c>
      <c r="B186" s="6">
        <v>208.90975688130658</v>
      </c>
      <c r="C186" s="6">
        <v>39.715860832744589</v>
      </c>
      <c r="D186" s="1" t="s">
        <v>549</v>
      </c>
      <c r="E186" s="1" t="s">
        <v>550</v>
      </c>
      <c r="F186" s="1" t="str">
        <f>IF(C186&gt;0,"North",IF(C186&lt;0,"South","Equator"))</f>
        <v>North</v>
      </c>
      <c r="G186" s="7">
        <f>DEGREES(ACOS(MAX(-1,MIN(1,SIN(RADIANS(C186))*SIN(RADIANS('Sources and method'!$B$5))+COS(RADIANS(C186))*COS(RADIANS('Sources and method'!$B$5))*COS(RADIANS(B186-'Sources and method'!$B$4))))))</f>
        <v>159.25874924417204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showGridLines="0" tabSelected="1" workbookViewId="0">
      <selection activeCell="A21" sqref="A21:XFD27"/>
    </sheetView>
  </sheetViews>
  <sheetFormatPr defaultRowHeight="15" x14ac:dyDescent="0.25"/>
  <cols>
    <col min="1" max="1" width="29" customWidth="1"/>
    <col min="2" max="2" width="95" customWidth="1"/>
    <col min="3" max="3" width="80" customWidth="1"/>
  </cols>
  <sheetData>
    <row r="1" spans="1:3" ht="21.95" customHeight="1" x14ac:dyDescent="0.3">
      <c r="A1" s="2" t="s">
        <v>560</v>
      </c>
      <c r="B1" s="1"/>
      <c r="C1" s="1"/>
    </row>
    <row r="2" spans="1:3" ht="21.95" customHeight="1" x14ac:dyDescent="0.25">
      <c r="A2" s="1"/>
      <c r="B2" s="1"/>
      <c r="C2" s="1"/>
    </row>
    <row r="3" spans="1:3" ht="24.95" customHeight="1" x14ac:dyDescent="0.25">
      <c r="A3" s="4" t="s">
        <v>561</v>
      </c>
      <c r="B3" s="4" t="s">
        <v>562</v>
      </c>
      <c r="C3" s="4" t="s">
        <v>563</v>
      </c>
    </row>
    <row r="4" spans="1:3" ht="21.95" customHeight="1" x14ac:dyDescent="0.25">
      <c r="A4" s="1" t="s">
        <v>564</v>
      </c>
      <c r="B4" s="6">
        <v>54.621179166666671</v>
      </c>
      <c r="C4" s="8" t="s">
        <v>565</v>
      </c>
    </row>
    <row r="5" spans="1:3" ht="21.95" customHeight="1" x14ac:dyDescent="0.25">
      <c r="A5" s="1" t="s">
        <v>566</v>
      </c>
      <c r="B5" s="6">
        <v>-35.450741666666673</v>
      </c>
      <c r="C5" s="8" t="s">
        <v>565</v>
      </c>
    </row>
    <row r="6" spans="1:3" ht="44.1" customHeight="1" x14ac:dyDescent="0.25">
      <c r="A6" s="1" t="s">
        <v>567</v>
      </c>
      <c r="B6" s="1" t="s">
        <v>568</v>
      </c>
      <c r="C6" s="8" t="s">
        <v>569</v>
      </c>
    </row>
    <row r="7" spans="1:3" ht="21.95" customHeight="1" x14ac:dyDescent="0.25">
      <c r="A7" s="1"/>
      <c r="B7" s="1"/>
      <c r="C7" s="1"/>
    </row>
    <row r="8" spans="1:3" ht="24.95" customHeight="1" x14ac:dyDescent="0.25">
      <c r="A8" s="5" t="s">
        <v>570</v>
      </c>
      <c r="B8" s="5" t="s">
        <v>571</v>
      </c>
      <c r="C8" s="1"/>
    </row>
    <row r="9" spans="1:3" ht="15" customHeight="1" x14ac:dyDescent="0.25">
      <c r="A9" s="8" t="s">
        <v>572</v>
      </c>
      <c r="B9" s="8" t="s">
        <v>573</v>
      </c>
      <c r="C9" s="1"/>
    </row>
    <row r="10" spans="1:3" ht="26.45" customHeight="1" x14ac:dyDescent="0.25">
      <c r="A10" s="8" t="s">
        <v>3</v>
      </c>
      <c r="B10" s="8" t="s">
        <v>574</v>
      </c>
      <c r="C10" s="1"/>
    </row>
    <row r="11" spans="1:3" ht="15" customHeight="1" x14ac:dyDescent="0.25">
      <c r="A11" s="8" t="s">
        <v>14</v>
      </c>
      <c r="B11" s="8" t="s">
        <v>575</v>
      </c>
      <c r="C11" s="1"/>
    </row>
    <row r="12" spans="1:3" ht="26.45" customHeight="1" x14ac:dyDescent="0.25">
      <c r="A12" s="8" t="s">
        <v>576</v>
      </c>
      <c r="B12" s="8" t="s">
        <v>577</v>
      </c>
      <c r="C12" s="1"/>
    </row>
    <row r="13" spans="1:3" ht="26.45" customHeight="1" x14ac:dyDescent="0.25">
      <c r="A13" s="8" t="s">
        <v>578</v>
      </c>
      <c r="B13" s="8" t="s">
        <v>579</v>
      </c>
      <c r="C13" s="1"/>
    </row>
    <row r="14" spans="1:3" ht="15" customHeight="1" x14ac:dyDescent="0.25">
      <c r="A14" s="8" t="s">
        <v>8</v>
      </c>
      <c r="B14" s="8" t="s">
        <v>580</v>
      </c>
      <c r="C14" s="1"/>
    </row>
    <row r="15" spans="1:3" ht="26.45" customHeight="1" x14ac:dyDescent="0.25">
      <c r="A15" s="8" t="s">
        <v>581</v>
      </c>
      <c r="B15" s="8" t="s">
        <v>582</v>
      </c>
      <c r="C15" s="1"/>
    </row>
    <row r="16" spans="1:3" ht="26.45" customHeight="1" x14ac:dyDescent="0.25">
      <c r="A16" s="8" t="s">
        <v>583</v>
      </c>
      <c r="B16" s="8" t="s">
        <v>584</v>
      </c>
      <c r="C16" s="1"/>
    </row>
    <row r="17" spans="1:3" ht="26.45" customHeight="1" x14ac:dyDescent="0.25">
      <c r="A17" s="8" t="s">
        <v>585</v>
      </c>
      <c r="B17" s="8" t="s">
        <v>586</v>
      </c>
      <c r="C17" s="1"/>
    </row>
    <row r="18" spans="1:3" ht="26.45" customHeight="1" x14ac:dyDescent="0.25">
      <c r="A18" s="8" t="s">
        <v>587</v>
      </c>
      <c r="B18" s="8" t="s">
        <v>588</v>
      </c>
      <c r="C18" s="1"/>
    </row>
    <row r="19" spans="1:3" ht="15" customHeight="1" x14ac:dyDescent="0.25">
      <c r="A19" s="8" t="s">
        <v>589</v>
      </c>
      <c r="B19" s="8" t="s">
        <v>590</v>
      </c>
      <c r="C19" s="1"/>
    </row>
    <row r="20" spans="1:3" ht="21.95" customHeight="1" x14ac:dyDescent="0.25">
      <c r="A20" s="1"/>
      <c r="B20" s="1"/>
      <c r="C20" s="1"/>
    </row>
    <row r="21" spans="1:3" ht="24.95" customHeight="1" x14ac:dyDescent="0.25">
      <c r="A21" s="5" t="s">
        <v>591</v>
      </c>
      <c r="B21" s="5" t="s">
        <v>592</v>
      </c>
      <c r="C21" s="1"/>
    </row>
    <row r="22" spans="1:3" ht="15" customHeight="1" x14ac:dyDescent="0.25">
      <c r="A22" s="8" t="s">
        <v>39</v>
      </c>
      <c r="B22" s="8" t="s">
        <v>593</v>
      </c>
      <c r="C22" s="1"/>
    </row>
    <row r="23" spans="1:3" ht="26.45" customHeight="1" x14ac:dyDescent="0.25">
      <c r="A23" s="8" t="s">
        <v>594</v>
      </c>
      <c r="B23" s="8" t="s">
        <v>595</v>
      </c>
      <c r="C23" s="1"/>
    </row>
    <row r="24" spans="1:3" ht="15" customHeight="1" x14ac:dyDescent="0.25">
      <c r="A24" s="8" t="s">
        <v>154</v>
      </c>
      <c r="B24" s="8" t="s">
        <v>596</v>
      </c>
      <c r="C24" s="1"/>
    </row>
    <row r="25" spans="1:3" ht="15" customHeight="1" x14ac:dyDescent="0.25">
      <c r="A25" s="8" t="s">
        <v>13</v>
      </c>
      <c r="B25" s="8" t="s">
        <v>597</v>
      </c>
      <c r="C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Galaxies</vt:lpstr>
      <vt:lpstr>Sources and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Gordon Bowser (Student)</cp:lastModifiedBy>
  <dcterms:modified xsi:type="dcterms:W3CDTF">2026-10-11T10:28:19Z</dcterms:modified>
</cp:coreProperties>
</file>